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FE9E28A-0A96-4440-B8AB-5E8B5942C047}" xr6:coauthVersionLast="47" xr6:coauthVersionMax="47" xr10:uidLastSave="{00000000-0000-0000-0000-000000000000}"/>
  <bookViews>
    <workbookView xWindow="-108" yWindow="-108" windowWidth="23256" windowHeight="12456" tabRatio="500" firstSheet="3" activeTab="7" xr2:uid="{00000000-000D-0000-FFFF-FFFF00000000}"/>
  </bookViews>
  <sheets>
    <sheet name="README" sheetId="1" r:id="rId1"/>
    <sheet name="Questions" sheetId="2" r:id="rId2"/>
    <sheet name="Sales_Data" sheetId="3" r:id="rId3"/>
    <sheet name="Product_Master" sheetId="4" r:id="rId4"/>
    <sheet name="Targets" sheetId="5" r:id="rId5"/>
    <sheet name="Dashboard" sheetId="9" r:id="rId6"/>
    <sheet name="Messy_Data" sheetId="6" r:id="rId7"/>
    <sheet name="Answer_Tables" sheetId="7" r:id="rId8"/>
    <sheet name="Answer_Key" sheetId="8" r:id="rId9"/>
  </sheets>
  <definedNames>
    <definedName name="_xlnm._FilterDatabase" localSheetId="2" hidden="1">Sales_Data!$A$1:$M$251</definedName>
    <definedName name="Slicer_Status">#N/A</definedName>
  </definedNames>
  <calcPr calcId="191029"/>
  <pivotCaches>
    <pivotCache cacheId="4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227" i="3" l="1"/>
  <c r="W4" i="3"/>
  <c r="W5" i="3"/>
  <c r="W9" i="3"/>
  <c r="W10" i="3"/>
  <c r="W11" i="3"/>
  <c r="W16" i="3"/>
  <c r="W17" i="3"/>
  <c r="W18" i="3" a="1"/>
  <c r="W24" i="3"/>
  <c r="W25" i="3"/>
  <c r="W27" i="3" a="1"/>
  <c r="B15" i="5"/>
  <c r="C15" i="5"/>
  <c r="B16" i="5"/>
  <c r="C16" i="5"/>
  <c r="B17" i="5"/>
  <c r="C17" i="5"/>
  <c r="B18" i="5"/>
  <c r="C18" i="5"/>
  <c r="B19" i="5"/>
  <c r="C19" i="5"/>
  <c r="B20" i="5"/>
  <c r="C20" i="5"/>
  <c r="B21" i="5"/>
  <c r="C21" i="5"/>
  <c r="B22" i="5"/>
  <c r="C22" i="5"/>
  <c r="A28" i="5" a="1"/>
  <c r="B37" i="5"/>
  <c r="B38" i="5"/>
  <c r="B39" i="5"/>
  <c r="B43" i="5" a="1"/>
  <c r="A44" i="5" a="1"/>
  <c r="B54" i="5"/>
  <c r="B55" i="5"/>
  <c r="B57" i="5" a="1"/>
  <c r="C57" i="5"/>
  <c r="A3" i="7"/>
  <c r="B3" i="7"/>
  <c r="C3" i="7"/>
  <c r="D3" i="7"/>
  <c r="A4" i="7"/>
  <c r="B4" i="7"/>
  <c r="C4" i="7"/>
  <c r="D4" i="7"/>
  <c r="A5" i="7"/>
  <c r="B5" i="7"/>
  <c r="C5" i="7"/>
  <c r="D5" i="7"/>
  <c r="A6" i="7"/>
  <c r="C6" i="7"/>
  <c r="A7" i="7"/>
  <c r="B7" i="7"/>
  <c r="C7" i="7"/>
  <c r="D7" i="7"/>
  <c r="A8" i="7"/>
  <c r="B8" i="7"/>
  <c r="C8" i="7"/>
  <c r="D8" i="7"/>
  <c r="A9" i="7"/>
  <c r="B9" i="7" s="1"/>
  <c r="C9" i="7"/>
  <c r="D9" i="7"/>
  <c r="A10" i="7"/>
  <c r="D10" i="7"/>
  <c r="B23" i="7"/>
  <c r="C23" i="7"/>
  <c r="B24" i="7"/>
  <c r="C24" i="7"/>
  <c r="B25" i="7"/>
  <c r="C25" i="7"/>
  <c r="B26" i="7"/>
  <c r="C26" i="7"/>
  <c r="B27" i="7"/>
  <c r="C27" i="7"/>
  <c r="B28" i="7"/>
  <c r="C28" i="7"/>
  <c r="B29" i="7"/>
  <c r="C29" i="7"/>
  <c r="B30" i="7"/>
  <c r="C30" i="7"/>
  <c r="B31" i="7"/>
  <c r="C31" i="7"/>
  <c r="B32" i="7"/>
  <c r="C32" i="7"/>
  <c r="B33" i="7"/>
  <c r="C33" i="7"/>
  <c r="B34" i="7"/>
  <c r="C34" i="7"/>
  <c r="B40" i="7"/>
  <c r="C40" i="7"/>
  <c r="D40" i="7"/>
  <c r="E40" i="7"/>
  <c r="B41" i="7"/>
  <c r="C41" i="7"/>
  <c r="D41" i="7"/>
  <c r="E41" i="7"/>
  <c r="B42" i="7"/>
  <c r="C42" i="7"/>
  <c r="D42" i="7"/>
  <c r="E42" i="7"/>
  <c r="B43" i="7"/>
  <c r="C43" i="7"/>
  <c r="C44" i="7" s="1"/>
  <c r="D43" i="7"/>
  <c r="E43" i="7"/>
  <c r="B53" i="7"/>
  <c r="C53" i="7"/>
  <c r="D53" i="7" s="1"/>
  <c r="B54" i="7"/>
  <c r="C54" i="7"/>
  <c r="B55" i="7"/>
  <c r="C55" i="7"/>
  <c r="C16" i="6" a="1"/>
  <c r="C26" i="8"/>
  <c r="B52" i="7"/>
  <c r="C52" i="7"/>
  <c r="E3" i="9"/>
  <c r="D3" i="9"/>
  <c r="C3" i="9"/>
  <c r="A60" i="7"/>
  <c r="B60" i="7" s="1"/>
  <c r="C60" i="7"/>
  <c r="D60" i="7"/>
  <c r="A61" i="7"/>
  <c r="B61" i="7" s="1"/>
  <c r="C61" i="7"/>
  <c r="D61" i="7"/>
  <c r="A62" i="7"/>
  <c r="C62" i="7"/>
  <c r="D62" i="7"/>
  <c r="A63" i="7"/>
  <c r="B63" i="7" s="1"/>
  <c r="C63" i="7"/>
  <c r="D63" i="7"/>
  <c r="A64" i="7"/>
  <c r="B64" i="7" s="1"/>
  <c r="C64" i="7"/>
  <c r="D64" i="7"/>
  <c r="A65" i="7"/>
  <c r="B65" i="7" s="1"/>
  <c r="C65" i="7"/>
  <c r="D65" i="7"/>
  <c r="A66" i="7"/>
  <c r="B66" i="7" s="1"/>
  <c r="C66" i="7"/>
  <c r="D66" i="7"/>
  <c r="A67" i="7"/>
  <c r="B67" i="7" s="1"/>
  <c r="C67" i="7"/>
  <c r="D67" i="7"/>
  <c r="A68" i="7"/>
  <c r="B68" i="7" s="1"/>
  <c r="C68" i="7"/>
  <c r="D68" i="7"/>
  <c r="A69" i="7"/>
  <c r="B69" i="7" s="1"/>
  <c r="C69" i="7"/>
  <c r="D69" i="7"/>
  <c r="A70" i="7"/>
  <c r="B70" i="7" s="1"/>
  <c r="C70" i="7"/>
  <c r="D70" i="7"/>
  <c r="A71" i="7"/>
  <c r="B71" i="7" s="1"/>
  <c r="C71" i="7"/>
  <c r="D71" i="7"/>
  <c r="J3" i="9" a="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 i="3"/>
  <c r="S3" i="3"/>
  <c r="S4" i="3"/>
  <c r="S5" i="3"/>
  <c r="S6" i="3"/>
  <c r="S7" i="3"/>
  <c r="S8" i="3"/>
  <c r="S9" i="3"/>
  <c r="S10" i="3"/>
  <c r="S11" i="3"/>
  <c r="S12" i="3"/>
  <c r="S13" i="3"/>
  <c r="S14" i="3"/>
  <c r="S15" i="3"/>
  <c r="S16" i="3"/>
  <c r="W28" i="3" s="1"/>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 i="3"/>
  <c r="Q7" i="3"/>
  <c r="Q6" i="3"/>
  <c r="Q3" i="3"/>
  <c r="Q4" i="3"/>
  <c r="Q5"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 i="3"/>
  <c r="W14" i="3" s="1"/>
  <c r="N3" i="3"/>
  <c r="N4" i="3"/>
  <c r="N5" i="3"/>
  <c r="N6" i="3"/>
  <c r="N7" i="3"/>
  <c r="N8" i="3"/>
  <c r="N9" i="3"/>
  <c r="N10" i="3"/>
  <c r="N11" i="3"/>
  <c r="N12" i="3"/>
  <c r="N13" i="3"/>
  <c r="W15" i="3" s="1"/>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 i="3"/>
  <c r="N228" i="3"/>
  <c r="N229" i="3"/>
  <c r="N230" i="3"/>
  <c r="N231" i="3"/>
  <c r="N232" i="3"/>
  <c r="N233" i="3"/>
  <c r="N234" i="3"/>
  <c r="N235" i="3"/>
  <c r="N236" i="3"/>
  <c r="N237" i="3"/>
  <c r="N238" i="3"/>
  <c r="N239" i="3"/>
  <c r="N240" i="3"/>
  <c r="N241" i="3"/>
  <c r="N242" i="3"/>
  <c r="N243" i="3"/>
  <c r="N244" i="3"/>
  <c r="N245" i="3"/>
  <c r="N246" i="3"/>
  <c r="N247" i="3"/>
  <c r="N248" i="3"/>
  <c r="N249" i="3"/>
  <c r="N250" i="3"/>
  <c r="N251" i="3"/>
  <c r="B16" i="6" a="1"/>
  <c r="B15" i="6"/>
  <c r="D15" i="6"/>
  <c r="E60" i="7"/>
  <c r="C30" i="8"/>
  <c r="C23" i="8"/>
  <c r="C22" i="8"/>
  <c r="C21" i="8"/>
  <c r="C20" i="8"/>
  <c r="C19" i="8"/>
  <c r="C17" i="8"/>
  <c r="C16" i="8"/>
  <c r="C15" i="8"/>
  <c r="C14" i="8"/>
  <c r="C13" i="8"/>
  <c r="C12" i="8"/>
  <c r="C11" i="8"/>
  <c r="C10" i="8"/>
  <c r="C9" i="8"/>
  <c r="C8" i="8"/>
  <c r="C7" i="8"/>
  <c r="C6" i="8"/>
  <c r="C18" i="8" s="1"/>
  <c r="C5" i="8"/>
  <c r="C4" i="8"/>
  <c r="C3" i="8"/>
  <c r="C2" i="8"/>
  <c r="C31" i="8" s="1"/>
  <c r="E71" i="7"/>
  <c r="E70" i="7"/>
  <c r="E69" i="7"/>
  <c r="E68" i="7"/>
  <c r="E67" i="7"/>
  <c r="E66" i="7"/>
  <c r="E65" i="7"/>
  <c r="E64" i="7"/>
  <c r="E63" i="7"/>
  <c r="E62" i="7"/>
  <c r="E61" i="7"/>
  <c r="C34" i="8"/>
  <c r="B3" i="9" l="1"/>
  <c r="W12" i="3"/>
  <c r="W6" i="3"/>
  <c r="D18" i="5" a="1"/>
  <c r="D22" i="5" a="1"/>
  <c r="C34" i="5" a="1"/>
  <c r="W22" i="3"/>
  <c r="D16" i="5" a="1"/>
  <c r="D20" i="5" a="1"/>
  <c r="C31" i="5" a="1"/>
  <c r="W7" i="3"/>
  <c r="W13" i="3"/>
  <c r="W20" i="3"/>
  <c r="W21" i="3" a="1"/>
  <c r="W23" i="3"/>
  <c r="C35" i="5" a="1"/>
  <c r="C37" i="5" a="1"/>
  <c r="C39" i="5" a="1"/>
  <c r="W8" i="3"/>
  <c r="D15" i="5" a="1"/>
  <c r="D17" i="5" a="1"/>
  <c r="D19" i="5" a="1"/>
  <c r="D21" i="5" a="1"/>
  <c r="G15" i="5" s="1"/>
  <c r="C36" i="5" a="1"/>
  <c r="C38" i="5" a="1"/>
  <c r="E39" i="5" s="1"/>
  <c r="E15" i="5"/>
  <c r="F15" i="5" s="1"/>
  <c r="E16" i="5"/>
  <c r="F16" i="5" s="1"/>
  <c r="G16" i="5"/>
  <c r="G17" i="5"/>
  <c r="E17" i="5"/>
  <c r="F17" i="5" s="1"/>
  <c r="E18" i="5"/>
  <c r="F18" i="5" s="1"/>
  <c r="G18" i="5"/>
  <c r="E19" i="5"/>
  <c r="F19" i="5" s="1"/>
  <c r="G19" i="5"/>
  <c r="B24" i="5"/>
  <c r="E20" i="5"/>
  <c r="F20" i="5" s="1"/>
  <c r="G20" i="5"/>
  <c r="G21" i="5"/>
  <c r="E21" i="5"/>
  <c r="F21" i="5" s="1"/>
  <c r="G22" i="5"/>
  <c r="E22" i="5"/>
  <c r="F22" i="5" s="1"/>
  <c r="B29" i="5"/>
  <c r="C29" i="5" a="1"/>
  <c r="B35" i="5"/>
  <c r="B30" i="5"/>
  <c r="C30" i="5" a="1"/>
  <c r="C33" i="5" a="1"/>
  <c r="E34" i="5" s="1"/>
  <c r="B36" i="5"/>
  <c r="B34" i="5"/>
  <c r="B31" i="5"/>
  <c r="B28" i="5"/>
  <c r="C28" i="5" a="1"/>
  <c r="B32" i="5"/>
  <c r="C32" i="5" a="1"/>
  <c r="B33" i="5"/>
  <c r="B44" i="5" a="1"/>
  <c r="C44" i="5" a="1"/>
  <c r="D44" i="5" a="1"/>
  <c r="E44" i="5" a="1"/>
  <c r="E46" i="5" a="1"/>
  <c r="C47" i="5" a="1"/>
  <c r="D46" i="5" a="1"/>
  <c r="E45" i="5" a="1"/>
  <c r="B46" i="5" a="1"/>
  <c r="C46" i="5" a="1"/>
  <c r="B47" i="5" a="1"/>
  <c r="D47" i="5" a="1"/>
  <c r="D45" i="5" a="1"/>
  <c r="C45" i="5" a="1"/>
  <c r="B45" i="5" a="1"/>
  <c r="E47" i="5" a="1"/>
  <c r="E34" i="7"/>
  <c r="E3" i="7"/>
  <c r="F3" i="7" s="1"/>
  <c r="E4" i="7"/>
  <c r="F4" i="7" s="1"/>
  <c r="E5" i="7"/>
  <c r="F5" i="7" s="1"/>
  <c r="B6" i="7"/>
  <c r="D6" i="7"/>
  <c r="E6" i="7" s="1"/>
  <c r="F6" i="7" s="1"/>
  <c r="E7" i="7"/>
  <c r="F7" i="7" s="1"/>
  <c r="E8" i="7"/>
  <c r="F8" i="7" s="1"/>
  <c r="E9" i="7"/>
  <c r="F9" i="7" s="1"/>
  <c r="C10" i="7"/>
  <c r="B10" i="7"/>
  <c r="E30" i="7"/>
  <c r="D44" i="7"/>
  <c r="D55" i="7"/>
  <c r="E27" i="7"/>
  <c r="E33" i="7"/>
  <c r="E32" i="7"/>
  <c r="F41" i="7"/>
  <c r="F40" i="7"/>
  <c r="E44" i="7"/>
  <c r="F43" i="7"/>
  <c r="D54" i="7"/>
  <c r="D24" i="7"/>
  <c r="E24" i="7"/>
  <c r="D23" i="7"/>
  <c r="D25" i="7"/>
  <c r="E25" i="7"/>
  <c r="D29" i="7"/>
  <c r="D26" i="7"/>
  <c r="D30" i="7"/>
  <c r="D27" i="7"/>
  <c r="D28" i="7"/>
  <c r="D31" i="7"/>
  <c r="D32" i="7"/>
  <c r="E26" i="7"/>
  <c r="E29" i="7"/>
  <c r="E28" i="7"/>
  <c r="E31" i="7"/>
  <c r="C35" i="7"/>
  <c r="D33" i="7"/>
  <c r="D34" i="7"/>
  <c r="F42" i="7"/>
  <c r="B44" i="7"/>
  <c r="F44" i="7"/>
  <c r="D52" i="7"/>
  <c r="B73" i="7" a="1"/>
  <c r="C36" i="8" s="1"/>
  <c r="B62" i="7"/>
  <c r="R2" i="3"/>
  <c r="P3" i="3"/>
  <c r="R3" i="3"/>
  <c r="P4" i="3"/>
  <c r="R4" i="3"/>
  <c r="P5" i="3"/>
  <c r="R5" i="3"/>
  <c r="P6" i="3"/>
  <c r="R6" i="3"/>
  <c r="P7" i="3"/>
  <c r="R7" i="3"/>
  <c r="P8" i="3"/>
  <c r="R8" i="3"/>
  <c r="P9" i="3"/>
  <c r="R9" i="3"/>
  <c r="P10" i="3"/>
  <c r="R10" i="3"/>
  <c r="P11" i="3"/>
  <c r="R11" i="3"/>
  <c r="R12" i="3"/>
  <c r="P12" i="3"/>
  <c r="R13" i="3"/>
  <c r="P13" i="3"/>
  <c r="R14" i="3"/>
  <c r="P14" i="3"/>
  <c r="P15" i="3"/>
  <c r="R15" i="3"/>
  <c r="P16" i="3"/>
  <c r="R16" i="3"/>
  <c r="P17" i="3"/>
  <c r="R17" i="3"/>
  <c r="P18" i="3"/>
  <c r="R18" i="3"/>
  <c r="R19" i="3"/>
  <c r="P19" i="3"/>
  <c r="P20" i="3"/>
  <c r="R20" i="3"/>
  <c r="R21" i="3"/>
  <c r="P21" i="3"/>
  <c r="R22" i="3"/>
  <c r="P22" i="3"/>
  <c r="P23" i="3"/>
  <c r="R23" i="3"/>
  <c r="P24" i="3"/>
  <c r="R24" i="3"/>
  <c r="P25" i="3"/>
  <c r="R25" i="3"/>
  <c r="P26" i="3"/>
  <c r="R26" i="3"/>
  <c r="P27" i="3"/>
  <c r="R27" i="3"/>
  <c r="R28" i="3"/>
  <c r="P28" i="3"/>
  <c r="R29" i="3"/>
  <c r="P29" i="3"/>
  <c r="R30" i="3"/>
  <c r="P30" i="3"/>
  <c r="R31" i="3"/>
  <c r="P31" i="3"/>
  <c r="R32" i="3"/>
  <c r="P32" i="3"/>
  <c r="R33" i="3"/>
  <c r="P33" i="3"/>
  <c r="R34" i="3"/>
  <c r="P34" i="3"/>
  <c r="R35" i="3"/>
  <c r="P35" i="3"/>
  <c r="P36" i="3"/>
  <c r="R36" i="3"/>
  <c r="P37" i="3"/>
  <c r="R37" i="3"/>
  <c r="R38" i="3"/>
  <c r="P38" i="3"/>
  <c r="R39" i="3"/>
  <c r="P39" i="3"/>
  <c r="P40" i="3"/>
  <c r="R40" i="3"/>
  <c r="R41" i="3"/>
  <c r="P41" i="3"/>
  <c r="R42" i="3"/>
  <c r="P42" i="3"/>
  <c r="P43" i="3"/>
  <c r="R43" i="3"/>
  <c r="R44" i="3"/>
  <c r="P44" i="3"/>
  <c r="R45" i="3"/>
  <c r="P45" i="3"/>
  <c r="R46" i="3"/>
  <c r="P46" i="3"/>
  <c r="R47" i="3"/>
  <c r="P47" i="3"/>
  <c r="P48" i="3"/>
  <c r="R48" i="3"/>
  <c r="P49" i="3"/>
  <c r="R49" i="3"/>
  <c r="P50" i="3"/>
  <c r="R50" i="3"/>
  <c r="P51" i="3"/>
  <c r="R51" i="3"/>
  <c r="P52" i="3"/>
  <c r="R52" i="3"/>
  <c r="R53" i="3"/>
  <c r="P53" i="3"/>
  <c r="R54" i="3"/>
  <c r="P54" i="3"/>
  <c r="R55" i="3"/>
  <c r="P55" i="3"/>
  <c r="R56" i="3"/>
  <c r="P56" i="3"/>
  <c r="R57" i="3"/>
  <c r="P57" i="3"/>
  <c r="P58" i="3"/>
  <c r="R58" i="3"/>
  <c r="R59" i="3"/>
  <c r="P59" i="3"/>
  <c r="R60" i="3"/>
  <c r="P60" i="3"/>
  <c r="R61" i="3"/>
  <c r="P61" i="3"/>
  <c r="P62" i="3"/>
  <c r="R62" i="3"/>
  <c r="R63" i="3"/>
  <c r="P63" i="3"/>
  <c r="P64" i="3"/>
  <c r="R64" i="3"/>
  <c r="R65" i="3"/>
  <c r="P65" i="3"/>
  <c r="R66" i="3"/>
  <c r="P66" i="3"/>
  <c r="R67" i="3"/>
  <c r="P67" i="3"/>
  <c r="P68" i="3"/>
  <c r="R68" i="3"/>
  <c r="R69" i="3"/>
  <c r="P69" i="3"/>
  <c r="R70" i="3"/>
  <c r="P70" i="3"/>
  <c r="P71" i="3"/>
  <c r="R71" i="3"/>
  <c r="P72" i="3"/>
  <c r="R72" i="3"/>
  <c r="R73" i="3"/>
  <c r="P73" i="3"/>
  <c r="P74" i="3"/>
  <c r="R74" i="3"/>
  <c r="P75" i="3"/>
  <c r="R75" i="3"/>
  <c r="R76" i="3"/>
  <c r="P76" i="3"/>
  <c r="P77" i="3"/>
  <c r="R77" i="3"/>
  <c r="R78" i="3"/>
  <c r="P78" i="3"/>
  <c r="P79" i="3"/>
  <c r="R79" i="3"/>
  <c r="R80" i="3"/>
  <c r="P80" i="3"/>
  <c r="R81" i="3"/>
  <c r="P81" i="3"/>
  <c r="P82" i="3"/>
  <c r="R82" i="3"/>
  <c r="R83" i="3"/>
  <c r="P83" i="3"/>
  <c r="P84" i="3"/>
  <c r="R84" i="3"/>
  <c r="R85" i="3"/>
  <c r="P85" i="3"/>
  <c r="R86" i="3"/>
  <c r="P86" i="3"/>
  <c r="R87" i="3"/>
  <c r="P87" i="3"/>
  <c r="P88" i="3"/>
  <c r="R88" i="3"/>
  <c r="R89" i="3"/>
  <c r="P89" i="3"/>
  <c r="R90" i="3"/>
  <c r="P90" i="3"/>
  <c r="R91" i="3"/>
  <c r="P91" i="3"/>
  <c r="P92" i="3"/>
  <c r="R92" i="3"/>
  <c r="R93" i="3"/>
  <c r="P93" i="3"/>
  <c r="P94" i="3"/>
  <c r="R94" i="3"/>
  <c r="R95" i="3"/>
  <c r="P95" i="3"/>
  <c r="R96" i="3"/>
  <c r="P96" i="3"/>
  <c r="P97" i="3"/>
  <c r="R97" i="3"/>
  <c r="R98" i="3"/>
  <c r="P98" i="3"/>
  <c r="P99" i="3"/>
  <c r="R99" i="3"/>
  <c r="R100" i="3"/>
  <c r="P100" i="3"/>
  <c r="R101" i="3"/>
  <c r="P101" i="3"/>
  <c r="R102" i="3"/>
  <c r="P102" i="3"/>
  <c r="R103" i="3"/>
  <c r="P103" i="3"/>
  <c r="R104" i="3"/>
  <c r="P104" i="3"/>
  <c r="R105" i="3"/>
  <c r="P105" i="3"/>
  <c r="P106" i="3"/>
  <c r="R106" i="3"/>
  <c r="R107" i="3"/>
  <c r="P107" i="3"/>
  <c r="R108" i="3"/>
  <c r="P108" i="3"/>
  <c r="R109" i="3"/>
  <c r="P109" i="3"/>
  <c r="P110" i="3"/>
  <c r="R110" i="3"/>
  <c r="R111" i="3"/>
  <c r="P111" i="3"/>
  <c r="P112" i="3"/>
  <c r="R112" i="3"/>
  <c r="R113" i="3"/>
  <c r="P113" i="3"/>
  <c r="R114" i="3"/>
  <c r="P114" i="3"/>
  <c r="R115" i="3"/>
  <c r="P115" i="3"/>
  <c r="P116" i="3"/>
  <c r="R116" i="3"/>
  <c r="R117" i="3"/>
  <c r="P117" i="3"/>
  <c r="R118" i="3"/>
  <c r="P118" i="3"/>
  <c r="R119" i="3"/>
  <c r="P119" i="3"/>
  <c r="R120" i="3"/>
  <c r="P120" i="3"/>
  <c r="R121" i="3"/>
  <c r="P121" i="3"/>
  <c r="P122" i="3"/>
  <c r="R122" i="3"/>
  <c r="P123" i="3"/>
  <c r="R123" i="3"/>
  <c r="R124" i="3"/>
  <c r="P124" i="3"/>
  <c r="R125" i="3"/>
  <c r="P125" i="3"/>
  <c r="P126" i="3"/>
  <c r="R126" i="3"/>
  <c r="R127" i="3"/>
  <c r="P127" i="3"/>
  <c r="P128" i="3"/>
  <c r="R128" i="3"/>
  <c r="P129" i="3"/>
  <c r="R129" i="3"/>
  <c r="P130" i="3"/>
  <c r="R130" i="3"/>
  <c r="R131" i="3"/>
  <c r="P131" i="3"/>
  <c r="P132" i="3"/>
  <c r="R132" i="3"/>
  <c r="R133" i="3"/>
  <c r="P133" i="3"/>
  <c r="R134" i="3"/>
  <c r="P134" i="3"/>
  <c r="P135" i="3"/>
  <c r="R135" i="3"/>
  <c r="R136" i="3"/>
  <c r="P136" i="3"/>
  <c r="R137" i="3"/>
  <c r="P137" i="3"/>
  <c r="R138" i="3"/>
  <c r="P138" i="3"/>
  <c r="R139" i="3"/>
  <c r="P139" i="3"/>
  <c r="R140" i="3"/>
  <c r="P140" i="3"/>
  <c r="P141" i="3"/>
  <c r="R141" i="3"/>
  <c r="R142" i="3"/>
  <c r="P142" i="3"/>
  <c r="P143" i="3"/>
  <c r="R143" i="3"/>
  <c r="P144" i="3"/>
  <c r="R144" i="3"/>
  <c r="R145" i="3"/>
  <c r="P145" i="3"/>
  <c r="P146" i="3"/>
  <c r="R146" i="3"/>
  <c r="P147" i="3"/>
  <c r="R147" i="3"/>
  <c r="P148" i="3"/>
  <c r="R148" i="3"/>
  <c r="R149" i="3"/>
  <c r="P149" i="3"/>
  <c r="P150" i="3"/>
  <c r="R150" i="3"/>
  <c r="R151" i="3"/>
  <c r="P151" i="3"/>
  <c r="P152" i="3"/>
  <c r="R152" i="3"/>
  <c r="P153" i="3"/>
  <c r="R153" i="3"/>
  <c r="R154" i="3"/>
  <c r="P154" i="3"/>
  <c r="R155" i="3"/>
  <c r="P155" i="3"/>
  <c r="R156" i="3"/>
  <c r="P156" i="3"/>
  <c r="R157" i="3"/>
  <c r="P157" i="3"/>
  <c r="P158" i="3"/>
  <c r="R158" i="3"/>
  <c r="R159" i="3"/>
  <c r="P159" i="3"/>
  <c r="R160" i="3"/>
  <c r="P160" i="3"/>
  <c r="R161" i="3"/>
  <c r="P161" i="3"/>
  <c r="P162" i="3"/>
  <c r="R162" i="3"/>
  <c r="R163" i="3"/>
  <c r="P163" i="3"/>
  <c r="R164" i="3"/>
  <c r="P164" i="3"/>
  <c r="R165" i="3"/>
  <c r="P165" i="3"/>
  <c r="R166" i="3"/>
  <c r="P166" i="3"/>
  <c r="R167" i="3"/>
  <c r="P167" i="3"/>
  <c r="P168" i="3"/>
  <c r="R168" i="3"/>
  <c r="P169" i="3"/>
  <c r="R169" i="3"/>
  <c r="R170" i="3"/>
  <c r="P170" i="3"/>
  <c r="R171" i="3"/>
  <c r="P171" i="3"/>
  <c r="R172" i="3"/>
  <c r="P172" i="3"/>
  <c r="R173" i="3"/>
  <c r="P173" i="3"/>
  <c r="R174" i="3"/>
  <c r="P174" i="3"/>
  <c r="P175" i="3"/>
  <c r="R175" i="3"/>
  <c r="P176" i="3"/>
  <c r="R176" i="3"/>
  <c r="R177" i="3"/>
  <c r="P177" i="3"/>
  <c r="P178" i="3"/>
  <c r="R178" i="3"/>
  <c r="P179" i="3"/>
  <c r="R179" i="3"/>
  <c r="R180" i="3"/>
  <c r="P180" i="3"/>
  <c r="R181" i="3"/>
  <c r="P181" i="3"/>
  <c r="R182" i="3"/>
  <c r="P182" i="3"/>
  <c r="R183" i="3"/>
  <c r="P183" i="3"/>
  <c r="R184" i="3"/>
  <c r="P184" i="3"/>
  <c r="R185" i="3"/>
  <c r="P185" i="3"/>
  <c r="R186" i="3"/>
  <c r="P186" i="3"/>
  <c r="P187" i="3"/>
  <c r="R187" i="3"/>
  <c r="P188" i="3"/>
  <c r="R188" i="3"/>
  <c r="P189" i="3"/>
  <c r="R189" i="3"/>
  <c r="P190" i="3"/>
  <c r="R190" i="3"/>
  <c r="P191" i="3"/>
  <c r="R191" i="3"/>
  <c r="P192" i="3"/>
  <c r="R192" i="3"/>
  <c r="P193" i="3"/>
  <c r="R193" i="3"/>
  <c r="R194" i="3"/>
  <c r="P194" i="3"/>
  <c r="P195" i="3"/>
  <c r="R195" i="3"/>
  <c r="P196" i="3"/>
  <c r="R196" i="3"/>
  <c r="P197" i="3"/>
  <c r="R197" i="3"/>
  <c r="P198" i="3"/>
  <c r="R198" i="3"/>
  <c r="R199" i="3"/>
  <c r="P199" i="3"/>
  <c r="R200" i="3"/>
  <c r="P200" i="3"/>
  <c r="P201" i="3"/>
  <c r="R201" i="3"/>
  <c r="P202" i="3"/>
  <c r="R202" i="3"/>
  <c r="P203" i="3"/>
  <c r="R203" i="3"/>
  <c r="P204" i="3"/>
  <c r="R204" i="3"/>
  <c r="P205" i="3"/>
  <c r="R205" i="3"/>
  <c r="P206" i="3"/>
  <c r="R206" i="3"/>
  <c r="P207" i="3"/>
  <c r="R207" i="3"/>
  <c r="P208" i="3"/>
  <c r="R208" i="3"/>
  <c r="R209" i="3"/>
  <c r="P209" i="3"/>
  <c r="P210" i="3"/>
  <c r="R210" i="3"/>
  <c r="R211" i="3"/>
  <c r="P211" i="3"/>
  <c r="P212" i="3"/>
  <c r="R212" i="3"/>
  <c r="R213" i="3"/>
  <c r="P213" i="3"/>
  <c r="R214" i="3"/>
  <c r="P214" i="3"/>
  <c r="P215" i="3"/>
  <c r="R215" i="3"/>
  <c r="R216" i="3"/>
  <c r="P216" i="3"/>
  <c r="P217" i="3"/>
  <c r="R217" i="3"/>
  <c r="R218" i="3"/>
  <c r="P218" i="3"/>
  <c r="R219" i="3"/>
  <c r="P219" i="3"/>
  <c r="P220" i="3"/>
  <c r="R220" i="3"/>
  <c r="R221" i="3"/>
  <c r="P221" i="3"/>
  <c r="R222" i="3"/>
  <c r="P222" i="3"/>
  <c r="P223" i="3"/>
  <c r="R223" i="3"/>
  <c r="R224" i="3"/>
  <c r="P224" i="3"/>
  <c r="P225" i="3"/>
  <c r="R225" i="3"/>
  <c r="R226" i="3"/>
  <c r="P226" i="3"/>
  <c r="P2" i="3"/>
  <c r="P228" i="3"/>
  <c r="R228" i="3"/>
  <c r="P229" i="3"/>
  <c r="R229" i="3"/>
  <c r="R230" i="3"/>
  <c r="P230" i="3"/>
  <c r="R231" i="3"/>
  <c r="P231" i="3"/>
  <c r="P232" i="3"/>
  <c r="R232" i="3"/>
  <c r="R233" i="3"/>
  <c r="P233" i="3"/>
  <c r="P234" i="3"/>
  <c r="R234" i="3"/>
  <c r="P235" i="3"/>
  <c r="R235" i="3"/>
  <c r="P236" i="3"/>
  <c r="R236" i="3"/>
  <c r="P237" i="3"/>
  <c r="R237" i="3"/>
  <c r="P238" i="3"/>
  <c r="R238" i="3"/>
  <c r="R239" i="3"/>
  <c r="P239" i="3"/>
  <c r="R240" i="3"/>
  <c r="P240" i="3"/>
  <c r="P241" i="3"/>
  <c r="R241" i="3"/>
  <c r="R242" i="3"/>
  <c r="P242" i="3"/>
  <c r="R243" i="3"/>
  <c r="P243" i="3"/>
  <c r="R244" i="3"/>
  <c r="P244" i="3"/>
  <c r="R245" i="3"/>
  <c r="P245" i="3"/>
  <c r="R246" i="3"/>
  <c r="P246" i="3"/>
  <c r="P247" i="3"/>
  <c r="R247" i="3"/>
  <c r="P248" i="3"/>
  <c r="R248" i="3"/>
  <c r="R249" i="3"/>
  <c r="P249" i="3"/>
  <c r="R250" i="3"/>
  <c r="P250" i="3"/>
  <c r="P251" i="3"/>
  <c r="R251" i="3"/>
  <c r="E74" i="7"/>
  <c r="C35" i="8" s="1"/>
  <c r="C32" i="8"/>
  <c r="C33" i="8"/>
  <c r="E31" i="5" l="1"/>
  <c r="E36" i="5"/>
  <c r="E38" i="5"/>
  <c r="E30" i="5"/>
  <c r="E35" i="5"/>
  <c r="E37" i="5"/>
  <c r="B53" i="5"/>
  <c r="C53" i="5" s="1" a="1"/>
  <c r="F45" i="5"/>
  <c r="D36" i="5"/>
  <c r="D35" i="5"/>
  <c r="E29" i="5"/>
  <c r="D29" i="5"/>
  <c r="D34" i="5"/>
  <c r="D28" i="5"/>
  <c r="D30" i="5"/>
  <c r="C40" i="5"/>
  <c r="D39" i="5"/>
  <c r="D38" i="5"/>
  <c r="D37" i="5"/>
  <c r="D33" i="5"/>
  <c r="D32" i="5"/>
  <c r="D31" i="5"/>
  <c r="E32" i="5"/>
  <c r="E33" i="5"/>
  <c r="B48" i="5"/>
  <c r="F44" i="5"/>
  <c r="B25" i="5"/>
  <c r="F46" i="5"/>
  <c r="C48" i="5"/>
  <c r="E48" i="5"/>
  <c r="F47" i="5"/>
  <c r="D48" i="5"/>
  <c r="G10" i="7"/>
  <c r="E10" i="7"/>
  <c r="F10" i="7" s="1"/>
  <c r="C24" i="8" s="1"/>
  <c r="G4" i="7"/>
  <c r="G5" i="7"/>
  <c r="G6" i="7"/>
  <c r="G7" i="7"/>
  <c r="B12" i="7"/>
  <c r="C25" i="8" s="1"/>
  <c r="B18" i="7"/>
  <c r="C29" i="8" s="1"/>
  <c r="B17" i="7"/>
  <c r="B16" i="7"/>
  <c r="G8" i="7"/>
  <c r="C17" i="7"/>
  <c r="G3" i="7"/>
  <c r="C18" i="7"/>
  <c r="C16" i="7"/>
  <c r="G9" i="7"/>
  <c r="D47" i="7"/>
  <c r="C47" i="7"/>
  <c r="E47" i="7"/>
  <c r="C27" i="8"/>
  <c r="B47" i="7"/>
  <c r="C28" i="8"/>
  <c r="R227" i="3"/>
  <c r="P227" i="3"/>
  <c r="F48" i="5" l="1"/>
  <c r="B50" i="5" l="1"/>
  <c r="D50" i="5"/>
  <c r="C50" i="5"/>
  <c r="E50"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<sst xmlns="http://schemas.openxmlformats.org/spreadsheetml/2006/main" count="2553" uniqueCount="674">
  <si>
    <t>Excel Practice — Sales Analysis (30 questions)</t>
  </si>
  <si>
    <t>Dataset: 250 orders, Jan–Dec 2025, 4 regions, 12 cities, 8 salespeople, 12 products. All data is made up for practice.</t>
  </si>
  <si>
    <t>How to use</t>
  </si>
  <si>
    <t>1. Open the 'Questions' sheet — each question tells you which function to use and where to apply it.</t>
  </si>
  <si>
    <t>2. Work on 'Sales_Data'. Yellow headers (columns N–S) are empty columns for YOU to fill with formulas.</t>
  </si>
  <si>
    <t>3. Other practice sheets: Product_Master (lookups), Targets (lookups), Messy_Data (cleaning).</t>
  </si>
  <si>
    <t>4. Stuck or finished? Check 'Answer_Key' (live answers + formulas) and 'Answer_Tables' (full expected tables).</t>
  </si>
  <si>
    <t>Notes</t>
  </si>
  <si>
    <t>• Revenue = Quantity × Unit Price × (1 − Discount), across ALL orders (including returned/cancelled) unless a question says Delivered only.</t>
  </si>
  <si>
    <t>• Blue font = hardcoded input. Black = formula.</t>
  </si>
  <si>
    <t>• Tip: do each question first with a helper column, then try the same thing with SUMPRODUCT to see two ways.</t>
  </si>
  <si>
    <t>Q#</t>
  </si>
  <si>
    <t>Level</t>
  </si>
  <si>
    <t>Skill</t>
  </si>
  <si>
    <t>Question</t>
  </si>
  <si>
    <t>Functions / tools to use</t>
  </si>
  <si>
    <t>Where to apply it</t>
  </si>
  <si>
    <t>1</t>
  </si>
  <si>
    <t>Beginner</t>
  </si>
  <si>
    <t>Basic arithmetic</t>
  </si>
  <si>
    <t>Add a Revenue column: Quantity × Unit Price × (1 − Discount) for every order.</t>
  </si>
  <si>
    <t>Operators (* , -), relative vs absolute references, fill-down</t>
  </si>
  <si>
    <t>Sales_Data → column N (yellow header)</t>
  </si>
  <si>
    <t>2</t>
  </si>
  <si>
    <t>Counting &amp; summing</t>
  </si>
  <si>
    <t>(a) Total number of orders  (b) Total units sold.</t>
  </si>
  <si>
    <t>COUNTA, SUM</t>
  </si>
  <si>
    <t>Any blank cell, or a summary sheet</t>
  </si>
  <si>
    <t>3</t>
  </si>
  <si>
    <t>Statistics</t>
  </si>
  <si>
    <t>(a) Average revenue per order  (b) Highest single-order revenue  (c) Lowest single-order revenue.</t>
  </si>
  <si>
    <t>AVERAGE, MAX, MIN</t>
  </si>
  <si>
    <t>Revenue column N</t>
  </si>
  <si>
    <t>4</t>
  </si>
  <si>
    <t>Conditional count</t>
  </si>
  <si>
    <t>How many orders are Delivered, Returned and Cancelled?</t>
  </si>
  <si>
    <t>COUNTIF</t>
  </si>
  <si>
    <t>Status column M</t>
  </si>
  <si>
    <t>5</t>
  </si>
  <si>
    <t>Conditional sum</t>
  </si>
  <si>
    <t>(a) Total revenue of the West region.  (b) Net revenue — Delivered orders only.</t>
  </si>
  <si>
    <t>SUMIF, SUMIFS</t>
  </si>
  <si>
    <t>Region D / Status M with Revenue N</t>
  </si>
  <si>
    <t>6</t>
  </si>
  <si>
    <t>Date functions</t>
  </si>
  <si>
    <t>Add a Month column (Jan, Feb…). How many orders were placed in March?</t>
  </si>
  <si>
    <t>MONTH, TEXT(date,"mmm"), COUNTIF</t>
  </si>
  <si>
    <t>Sales_Data → column O</t>
  </si>
  <si>
    <t>7</t>
  </si>
  <si>
    <t>IF logic</t>
  </si>
  <si>
    <t>Order Size: 'High Value' if revenue &gt; 15,000, 'Medium' if ≥ 5,000, else 'Low'. How many High Value orders?</t>
  </si>
  <si>
    <t>IF (nested), COUNTIF</t>
  </si>
  <si>
    <t>Sales_Data → column P</t>
  </si>
  <si>
    <t>8</t>
  </si>
  <si>
    <t>Intermediate</t>
  </si>
  <si>
    <t>Multi-criteria sum</t>
  </si>
  <si>
    <t>Revenue from Electronics, in the North region, Delivered orders only.</t>
  </si>
  <si>
    <t>SUMIFS</t>
  </si>
  <si>
    <t>Any blank cell</t>
  </si>
  <si>
    <t>9</t>
  </si>
  <si>
    <t>Conditional average</t>
  </si>
  <si>
    <t>Average discount given on UPI payments, and on COD payments.</t>
  </si>
  <si>
    <t>AVERAGEIF / AVERAGEIFS</t>
  </si>
  <si>
    <t>Payment Mode L, Discount K</t>
  </si>
  <si>
    <t>10</t>
  </si>
  <si>
    <t>Lookup the max</t>
  </si>
  <si>
    <t>Which Order ID has the highest revenue?</t>
  </si>
  <si>
    <t>INDEX + MATCH + MAX</t>
  </si>
  <si>
    <t>Order ID A, Revenue N</t>
  </si>
  <si>
    <t>11</t>
  </si>
  <si>
    <t>Lookups across sheets</t>
  </si>
  <si>
    <t>Bring Cost Price from Product_Master into the data (do it once with VLOOKUP, once with INDEX+MATCH — results must match). Then Profit = Revenue − Quantity × Cost. Total profit?</t>
  </si>
  <si>
    <t>VLOOKUP (exact match), INDEX+MATCH</t>
  </si>
  <si>
    <t>Sales_Data → columns Q (Cost Price) and R (Profit)</t>
  </si>
  <si>
    <t>12</t>
  </si>
  <si>
    <t>COUNTIFS</t>
  </si>
  <si>
    <t>How many orders had discount ≥ 10% AND quantity &gt; 5?</t>
  </si>
  <si>
    <t>COUNTIFS with "&gt;=0.1" style criteria</t>
  </si>
  <si>
    <t>Discount K, Quantity I</t>
  </si>
  <si>
    <t>13</t>
  </si>
  <si>
    <t>Rate calculation</t>
  </si>
  <si>
    <t>What is the return rate (%) for Clothing?  Returned orders ÷ all orders in that category.</t>
  </si>
  <si>
    <t>COUNTIFS, COUNTIF, % format</t>
  </si>
  <si>
    <t>Category G, Status M</t>
  </si>
  <si>
    <t>14</t>
  </si>
  <si>
    <t>Weekday logic</t>
  </si>
  <si>
    <t>How many orders were placed on a weekend?</t>
  </si>
  <si>
    <t>WEEKDAY(date,2), SUMPRODUCT or helper column + COUNTIF</t>
  </si>
  <si>
    <t>Order Date B</t>
  </si>
  <si>
    <t>15</t>
  </si>
  <si>
    <t>Date difference</t>
  </si>
  <si>
    <t>Add Delivery Days (Delivery Date − Order Date; leave blank for cancelled). Average delivery days in the West region?</t>
  </si>
  <si>
    <t>IF, ISBLANK / "" check, AVERAGEIFS</t>
  </si>
  <si>
    <t>Sales_Data → column S</t>
  </si>
  <si>
    <t>16</t>
  </si>
  <si>
    <t>Build a summary table</t>
  </si>
  <si>
    <t>Per salesperson: Revenue, Target (from Targets sheet), Achievement %, Band (≥100% 'Target Met', ≥90% 'Close', else 'Below Target'), Rank. How many met target?</t>
  </si>
  <si>
    <t>SUMIFS, INDEX+MATCH, IF, RANK, COUNTIF</t>
  </si>
  <si>
    <t>New sheet 'Summary'</t>
  </si>
  <si>
    <t>17</t>
  </si>
  <si>
    <t>Top performer</t>
  </si>
  <si>
    <t>Which salesperson has the highest revenue?</t>
  </si>
  <si>
    <t>Your Summary table</t>
  </si>
  <si>
    <t>18</t>
  </si>
  <si>
    <t>Advanced</t>
  </si>
  <si>
    <t>Time series</t>
  </si>
  <si>
    <t>Monthly revenue, cumulative revenue and month-on-month growth %. Which month is the peak?</t>
  </si>
  <si>
    <t>SUMIFS on Month column, running SUM with $ anchor, growth formula, INDEX+MATCH</t>
  </si>
  <si>
    <t>New sheet 'Monthly'</t>
  </si>
  <si>
    <t>19</t>
  </si>
  <si>
    <t>Two-way table</t>
  </si>
  <si>
    <t>Build a Region × Category revenue grid with ONE formula copied across the whole grid.</t>
  </si>
  <si>
    <t>SUMIFS with mixed references ($A2, B$1)</t>
  </si>
  <si>
    <t>New sheet 'Matrix'</t>
  </si>
  <si>
    <t>20</t>
  </si>
  <si>
    <t>Percent of total</t>
  </si>
  <si>
    <t>What % of total revenue does Electronics contribute?</t>
  </si>
  <si>
    <t>Absolute reference ($F$44 style), % format</t>
  </si>
  <si>
    <t>Below your Matrix</t>
  </si>
  <si>
    <t>21</t>
  </si>
  <si>
    <t>Top N</t>
  </si>
  <si>
    <t>List the top 3 salespeople with their revenue.</t>
  </si>
  <si>
    <t>LARGE, INDEX+MATCH</t>
  </si>
  <si>
    <t>Below your Summary table</t>
  </si>
  <si>
    <t>22</t>
  </si>
  <si>
    <t>Unique counts</t>
  </si>
  <si>
    <t>How many unique cities appear in the data? (Without using Remove Duplicates.)</t>
  </si>
  <si>
    <t>SUMPRODUCT(1/COUNTIF(range,range))</t>
  </si>
  <si>
    <t>23</t>
  </si>
  <si>
    <t>PivotTable</t>
  </si>
  <si>
    <t>Pivot: Region in rows, Category in columns, Sum of Revenue in values. Add a Slicer for Status and a column chart. Grand total must match Q1.</t>
  </si>
  <si>
    <t>Insert → PivotTable, Slicer, PivotChart</t>
  </si>
  <si>
    <t>New sheet 'Pivot'</t>
  </si>
  <si>
    <t>24</t>
  </si>
  <si>
    <t>Conditional formatting</t>
  </si>
  <si>
    <t>Highlight Returned rows in red, top 10% revenue in green, add data bars to Revenue.</t>
  </si>
  <si>
    <t>Home → Conditional Formatting (formula rule: =$M2="Returned")</t>
  </si>
  <si>
    <t>Sales_Data, whole table</t>
  </si>
  <si>
    <t>25</t>
  </si>
  <si>
    <t>Mini dashboard</t>
  </si>
  <si>
    <t>Create a Region dropdown (Data Validation). Show Revenue, Orders, Avg Discount and Return Rate for the selected region.</t>
  </si>
  <si>
    <t>Data Validation list, SUMIFS, COUNTIFS, AVERAGEIFS, IFERROR</t>
  </si>
  <si>
    <t>New sheet 'Dashboard'</t>
  </si>
  <si>
    <t>26</t>
  </si>
  <si>
    <t>Data cleaning</t>
  </si>
  <si>
    <t>Text cleanup</t>
  </si>
  <si>
    <t>Clean the customer names (extra spaces, wrong case).</t>
  </si>
  <si>
    <t>TRIM, PROPER</t>
  </si>
  <si>
    <t>Messy_Data → new column F</t>
  </si>
  <si>
    <t>27</t>
  </si>
  <si>
    <t>Text extraction</t>
  </si>
  <si>
    <t>Pull each person's first name from the cleaned name.</t>
  </si>
  <si>
    <t>LEFT, FIND</t>
  </si>
  <si>
    <t>Messy_Data → new column G</t>
  </si>
  <si>
    <t>28</t>
  </si>
  <si>
    <t>Phone numbers</t>
  </si>
  <si>
    <t>Make every phone number a plain 10-digit number.</t>
  </si>
  <si>
    <t>SUBSTITUTE, TRIM, RIGHT</t>
  </si>
  <si>
    <t>Messy_Data → new column H</t>
  </si>
  <si>
    <t>29</t>
  </si>
  <si>
    <t>Text to number</t>
  </si>
  <si>
    <t>Convert Order Amount (₹, Rs., commas, spaces) to real numbers. What is the total?</t>
  </si>
  <si>
    <t>SUBSTITUTE (nested), VALUE, SUM</t>
  </si>
  <si>
    <t>Messy_Data → new column I</t>
  </si>
  <si>
    <t>30</t>
  </si>
  <si>
    <t>Duplicates</t>
  </si>
  <si>
    <t>After cleaning, how many unique customers are there?</t>
  </si>
  <si>
    <t>COUNTIF to flag duplicates, Data → Remove Duplicates, SUMPRODUCT(1/COUNTIF)</t>
  </si>
  <si>
    <t>Cleaned name column</t>
  </si>
  <si>
    <t>Order ID</t>
  </si>
  <si>
    <t>Order Date</t>
  </si>
  <si>
    <t>Delivery Date</t>
  </si>
  <si>
    <t>Region</t>
  </si>
  <si>
    <t>City</t>
  </si>
  <si>
    <t>Salesperson</t>
  </si>
  <si>
    <t>Category</t>
  </si>
  <si>
    <t>Product</t>
  </si>
  <si>
    <t>Quantity</t>
  </si>
  <si>
    <t>Unit Price (₹)</t>
  </si>
  <si>
    <t>Discount %</t>
  </si>
  <si>
    <t>Payment Mode</t>
  </si>
  <si>
    <t>Status</t>
  </si>
  <si>
    <t>Revenue (₹)  ← add</t>
  </si>
  <si>
    <t>Month  ← add</t>
  </si>
  <si>
    <t>Order Size  ← add</t>
  </si>
  <si>
    <t>Cost Price  ← add</t>
  </si>
  <si>
    <t>Profit  ← add</t>
  </si>
  <si>
    <t>Delivery Days  ← add</t>
  </si>
  <si>
    <t>ORD1001</t>
  </si>
  <si>
    <t>East</t>
  </si>
  <si>
    <t>Bhubaneswar</t>
  </si>
  <si>
    <t>Rohit Das</t>
  </si>
  <si>
    <t>Stationery</t>
  </si>
  <si>
    <t>Gel Pen Box</t>
  </si>
  <si>
    <t>COD</t>
  </si>
  <si>
    <t>Delivered</t>
  </si>
  <si>
    <t>ORD1002</t>
  </si>
  <si>
    <t>Kolkata</t>
  </si>
  <si>
    <t>Clothing</t>
  </si>
  <si>
    <t>Denim Jacket</t>
  </si>
  <si>
    <t>ORD1003</t>
  </si>
  <si>
    <t>Furniture</t>
  </si>
  <si>
    <t>Study Desk</t>
  </si>
  <si>
    <t>UPI</t>
  </si>
  <si>
    <t>ORD1004</t>
  </si>
  <si>
    <t>South</t>
  </si>
  <si>
    <t>Hyderabad</t>
  </si>
  <si>
    <t>Karthik Iyer</t>
  </si>
  <si>
    <t>Cotton T-Shirt</t>
  </si>
  <si>
    <t>ORD1005</t>
  </si>
  <si>
    <t>Chennai</t>
  </si>
  <si>
    <t>Meera Nair</t>
  </si>
  <si>
    <t>ORD1006</t>
  </si>
  <si>
    <t>Ananya Sen</t>
  </si>
  <si>
    <t>Net Banking</t>
  </si>
  <si>
    <t>Cancelled</t>
  </si>
  <si>
    <t>ORD1007</t>
  </si>
  <si>
    <t>Electronics</t>
  </si>
  <si>
    <t>Power Bank</t>
  </si>
  <si>
    <t>Returned</t>
  </si>
  <si>
    <t>ORD1008</t>
  </si>
  <si>
    <t>ORD1009</t>
  </si>
  <si>
    <t>North</t>
  </si>
  <si>
    <t>Delhi</t>
  </si>
  <si>
    <t>Simran Kaur</t>
  </si>
  <si>
    <t>Debit Card</t>
  </si>
  <si>
    <t>ORD1010</t>
  </si>
  <si>
    <t>Bengaluru</t>
  </si>
  <si>
    <t>Wireless Mouse</t>
  </si>
  <si>
    <t>Credit Card</t>
  </si>
  <si>
    <t>ORD1011</t>
  </si>
  <si>
    <t>Chandigarh</t>
  </si>
  <si>
    <t>ORD1012</t>
  </si>
  <si>
    <t>ORD1013</t>
  </si>
  <si>
    <t>Desk Organizer</t>
  </si>
  <si>
    <t>ORD1014</t>
  </si>
  <si>
    <t>Bluetooth Speaker</t>
  </si>
  <si>
    <t>ORD1015</t>
  </si>
  <si>
    <t>West</t>
  </si>
  <si>
    <t>Ahmedabad</t>
  </si>
  <si>
    <t>Neha Joshi</t>
  </si>
  <si>
    <t>ORD1016</t>
  </si>
  <si>
    <t>ORD1017</t>
  </si>
  <si>
    <t>Pune</t>
  </si>
  <si>
    <t>Vikram Shah</t>
  </si>
  <si>
    <t>ORD1018</t>
  </si>
  <si>
    <t>ORD1019</t>
  </si>
  <si>
    <t>Notebook Pack</t>
  </si>
  <si>
    <t>ORD1020</t>
  </si>
  <si>
    <t>Aarav Mehta</t>
  </si>
  <si>
    <t>Bookshelf</t>
  </si>
  <si>
    <t>ORD1021</t>
  </si>
  <si>
    <t>ORD1022</t>
  </si>
  <si>
    <t>ORD1023</t>
  </si>
  <si>
    <t>Mumbai</t>
  </si>
  <si>
    <t>Headphones</t>
  </si>
  <si>
    <t>ORD1024</t>
  </si>
  <si>
    <t>ORD1025</t>
  </si>
  <si>
    <t>ORD1026</t>
  </si>
  <si>
    <t>Lucknow</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</si>
  <si>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</si>
  <si>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</si>
  <si>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</si>
  <si>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</si>
  <si>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</si>
  <si>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</si>
  <si>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</si>
  <si>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</si>
  <si>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</si>
  <si>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</si>
  <si>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</si>
  <si>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</si>
  <si>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</si>
  <si>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</si>
  <si>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</si>
  <si>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</si>
  <si>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</si>
  <si>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Patna</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</si>
  <si>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</si>
  <si>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</si>
  <si>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</si>
  <si>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</si>
  <si>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</si>
  <si>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</si>
  <si>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</si>
  <si>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</si>
  <si>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</si>
  <si>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</si>
  <si>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</si>
  <si>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</si>
  <si>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</si>
  <si>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</si>
  <si>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</si>
  <si>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</si>
  <si>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</si>
  <si>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</si>
  <si>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</si>
  <si>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</si>
  <si>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</si>
  <si>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</si>
  <si>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</si>
  <si>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</si>
  <si>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</si>
  <si>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</si>
  <si>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</si>
  <si>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</si>
  <si>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</si>
  <si>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</si>
  <si>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</si>
  <si>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</si>
  <si>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</si>
  <si>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</si>
  <si>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</si>
  <si>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</si>
  <si>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Office Chair</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</si>
  <si>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</si>
  <si>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</si>
  <si>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</si>
  <si>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</si>
  <si>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</si>
  <si>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</si>
  <si>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</si>
  <si>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</si>
  <si>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</si>
  <si>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</si>
  <si>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</si>
  <si>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</si>
  <si>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</si>
  <si>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</si>
  <si>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</si>
  <si>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</si>
  <si>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</si>
  <si>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</si>
  <si>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</si>
  <si>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</si>
  <si>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</si>
  <si>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</si>
  <si>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</si>
  <si>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</si>
  <si>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</si>
  <si>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</si>
  <si>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</si>
  <si>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</si>
  <si>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</si>
  <si>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</si>
  <si>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</si>
  <si>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</si>
  <si>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</si>
  <si>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</si>
  <si>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</si>
  <si>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</si>
  <si>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</si>
  <si>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</si>
  <si>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</si>
  <si>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</si>
  <si>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</si>
  <si>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</si>
  <si>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</si>
  <si>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</si>
  <si>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</si>
  <si>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</si>
  <si>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</si>
  <si>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</si>
  <si>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</si>
  <si>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</si>
  <si>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</si>
  <si>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</si>
  <si>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</si>
  <si>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</si>
  <si>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</si>
  <si>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</si>
  <si>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</si>
  <si>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</si>
  <si>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</si>
  <si>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</si>
  <si>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</si>
  <si>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</si>
  <si>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</si>
  <si>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</si>
  <si>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</si>
  <si>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</si>
  <si>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</si>
  <si>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</si>
  <si>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</si>
  <si>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</si>
  <si>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</si>
  <si>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</si>
  <si>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</si>
  <si>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</si>
  <si>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</si>
  <si>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</si>
  <si>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</si>
  <si>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</si>
  <si>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</si>
  <si>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</si>
  <si>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</si>
  <si>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</si>
  <si>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</si>
  <si>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</si>
  <si>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</si>
  <si>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</si>
  <si>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</si>
  <si>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</si>
  <si>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</si>
  <si>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</si>
  <si>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</si>
  <si>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</si>
  <si>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</si>
  <si>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</si>
  <si>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</si>
  <si>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</si>
  <si>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</si>
  <si>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</si>
  <si>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</si>
  <si>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</si>
  <si>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</si>
  <si>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</si>
  <si>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</si>
  <si>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</si>
  <si>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</si>
  <si>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</si>
  <si>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</si>
  <si>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</si>
  <si>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</si>
  <si>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</si>
  <si>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</si>
  <si>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</si>
  <si>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</si>
  <si>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</si>
  <si>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</si>
  <si>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</si>
  <si>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</si>
  <si>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</si>
  <si>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</si>
  <si>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</si>
  <si>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</si>
  <si>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</si>
  <si>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</si>
  <si>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</si>
  <si>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</si>
  <si>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</si>
  <si>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</si>
  <si>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</si>
  <si>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</si>
  <si>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</si>
  <si>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</si>
  <si>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</si>
  <si>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</si>
  <si>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</si>
  <si>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</si>
  <si>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</si>
  <si>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</si>
  <si>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</si>
  <si>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</si>
  <si>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</si>
  <si>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</si>
  <si>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</si>
  <si>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</si>
  <si>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</si>
  <si>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</si>
  <si>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</si>
  <si>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</si>
  <si>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</si>
  <si>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</si>
  <si>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</si>
  <si>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</si>
  <si>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</si>
  <si>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</si>
  <si>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</si>
  <si>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</si>
  <si>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</si>
  <si>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</si>
  <si>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</si>
  <si>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</si>
  <si>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</si>
  <si>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</si>
  <si>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</si>
  <si>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</si>
  <si>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</si>
  <si>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</si>
  <si>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</si>
  <si>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</si>
  <si>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</si>
  <si>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</si>
  <si>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</si>
  <si>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</si>
  <si>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List Price (₹)</t>
  </si>
  <si>
    <t>Cost Price (₹)</t>
  </si>
  <si>
    <t>Cost prices are illustrative sample inputs (blue = hardcoded input).</t>
  </si>
  <si>
    <t>Annual Target (₹)</t>
  </si>
  <si>
    <t>Targets are illustrative sample inputs (blue = hardcoded).</t>
  </si>
  <si>
    <t>Customer Name</t>
  </si>
  <si>
    <t>Phone</t>
  </si>
  <si>
    <t>Order Amount</t>
  </si>
  <si>
    <t>A. Salesperson performance  (Q16, Q17, Q21)</t>
  </si>
  <si>
    <t>Revenue</t>
  </si>
  <si>
    <t>Target</t>
  </si>
  <si>
    <t>Achievement %</t>
  </si>
  <si>
    <t>Band</t>
  </si>
  <si>
    <t>Rank</t>
  </si>
  <si>
    <t>Top salesperson</t>
  </si>
  <si>
    <t>Top 3 salespeople  (Q21)</t>
  </si>
  <si>
    <t>B. Monthly revenue, cumulative &amp; MoM growth  (Q18)</t>
  </si>
  <si>
    <t>Month No</t>
  </si>
  <si>
    <t>Month</t>
  </si>
  <si>
    <t>Cumulative</t>
  </si>
  <si>
    <t>MoM Growth %</t>
  </si>
  <si>
    <t>Total</t>
  </si>
  <si>
    <t>C. Region × Category revenue (pivot check)  (Q19, Q20, Q23)</t>
  </si>
  <si>
    <t>Share of total</t>
  </si>
  <si>
    <t>D. Return rate by category  (Q13)</t>
  </si>
  <si>
    <t>Orders</t>
  </si>
  <si>
    <t>Return %</t>
  </si>
  <si>
    <t>E. Cleaned Messy_Data  (Q26–Q30)</t>
  </si>
  <si>
    <t>Clean Name</t>
  </si>
  <si>
    <t>First Name</t>
  </si>
  <si>
    <t>Phone (10 digits)</t>
  </si>
  <si>
    <t>Amount (₹)</t>
  </si>
  <si>
    <t>Unique customers</t>
  </si>
  <si>
    <t>Total amount</t>
  </si>
  <si>
    <t>What it answers</t>
  </si>
  <si>
    <t>Answer (live)</t>
  </si>
  <si>
    <t>Formula used</t>
  </si>
  <si>
    <t>Note</t>
  </si>
  <si>
    <t>Grand total revenue</t>
  </si>
  <si>
    <t>=SUMPRODUCT(Sales_Data!$I$2:$I$251*Sales_Data!$J$2:$J$251*(1-Sales_Data!$K$2:$K$251))</t>
  </si>
  <si>
    <t>Your column N total should match</t>
  </si>
  <si>
    <t>2a</t>
  </si>
  <si>
    <t>Total orders</t>
  </si>
  <si>
    <t>=COUNTA(Sales_Data!$A$2:$A$251)</t>
  </si>
  <si>
    <t>2b</t>
  </si>
  <si>
    <t>Total units sold</t>
  </si>
  <si>
    <t>=SUM(Sales_Data!$I$2:$I$251)</t>
  </si>
  <si>
    <t>3a</t>
  </si>
  <si>
    <t>Average revenue per order</t>
  </si>
  <si>
    <t>=SUMPRODUCT(Sales_Data!$I$2:$I$251*Sales_Data!$J$2:$J$251*(1-Sales_Data!$K$2:$K$251))/COUNTA(Sales_Data!$A$2:$A$251)</t>
  </si>
  <si>
    <t>= AVERAGE(N:N) once you add column N</t>
  </si>
  <si>
    <t>3b</t>
  </si>
  <si>
    <t>Highest order revenue</t>
  </si>
  <si>
    <t>=SUMPRODUCT(MAX(Sales_Data!$I$2:$I$251*Sales_Data!$J$2:$J$251*(1-Sales_Data!$K$2:$K$251)))</t>
  </si>
  <si>
    <t>= MAX(N:N)</t>
  </si>
  <si>
    <t>3c</t>
  </si>
  <si>
    <t>Lowest order revenue</t>
  </si>
  <si>
    <t>=SUMPRODUCT(MIN(Sales_Data!$I$2:$I$251*Sales_Data!$J$2:$J$251*(1-Sales_Data!$K$2:$K$251)))</t>
  </si>
  <si>
    <t>= MIN(N:N)</t>
  </si>
  <si>
    <t>4a</t>
  </si>
  <si>
    <t>Delivered orders</t>
  </si>
  <si>
    <t>=COUNTIF(Sales_Data!$M$2:$M$251,"Delivered")</t>
  </si>
  <si>
    <t>4b</t>
  </si>
  <si>
    <t>Returned orders</t>
  </si>
  <si>
    <t>=COUNTIF(Sales_Data!$M$2:$M$251,"Returned")</t>
  </si>
  <si>
    <t>4c</t>
  </si>
  <si>
    <t>Cancelled orders</t>
  </si>
  <si>
    <t>=COUNTIF(Sales_Data!$M$2:$M$251,"Cancelled")</t>
  </si>
  <si>
    <t>5a</t>
  </si>
  <si>
    <t>Revenue — West</t>
  </si>
  <si>
    <t>=SUMPRODUCT((Sales_Data!$D$2:$D$251="West")*Sales_Data!$I$2:$I$251*Sales_Data!$J$2:$J$251*(1-Sales_Data!$K$2:$K$251))</t>
  </si>
  <si>
    <t>= SUMIF(D:D,"West",N:N) with column N</t>
  </si>
  <si>
    <t>5b</t>
  </si>
  <si>
    <t>Net revenue — Delivered only</t>
  </si>
  <si>
    <t>=SUMPRODUCT((Sales_Data!$M$2:$M$251="Delivered")*Sales_Data!$I$2:$I$251*Sales_Data!$J$2:$J$251*(1-Sales_Data!$K$2:$K$251))</t>
  </si>
  <si>
    <t>= SUMIF(M:M,"Delivered",N:N)</t>
  </si>
  <si>
    <t>Orders placed in March</t>
  </si>
  <si>
    <t>=SUMPRODUCT(--(MONTH(Sales_Data!$B$2:$B$251)=3))</t>
  </si>
  <si>
    <t>= COUNTIF(O:O,"Mar") with Month column</t>
  </si>
  <si>
    <t>High Value orders (&gt; 15,000)</t>
  </si>
  <si>
    <t>=SUMPRODUCT(--(Sales_Data!$I$2:$I$251*Sales_Data!$J$2:$J$251*(1-Sales_Data!$K$2:$K$251)&gt;15000))</t>
  </si>
  <si>
    <t>= COUNTIF(P:P,"High Value")</t>
  </si>
  <si>
    <t>Electronics · North · Delivered</t>
  </si>
  <si>
    <t>=SUMPRODUCT((Sales_Data!$G$2:$G$251="Electronics")*(Sales_Data!$D$2:$D$251="North")*(Sales_Data!$M$2:$M$251="Delivered")*Sales_Data!$I$2:$I$251*Sales_Data!$J$2:$J$251*(1-Sales_Data!$K$2:$K$251))</t>
  </si>
  <si>
    <t>= SUMIFS(N:N,G:G,"Electronics",D:D,"North",M:M,"Delivered")</t>
  </si>
  <si>
    <t>9a</t>
  </si>
  <si>
    <t>Avg discount — UPI</t>
  </si>
  <si>
    <t>=AVERAGEIF(Sales_Data!$L$2:$L$251,"UPI",Sales_Data!$K$2:$K$251)</t>
  </si>
  <si>
    <t>9b</t>
  </si>
  <si>
    <t>Avg discount — COD</t>
  </si>
  <si>
    <t>=AVERAGEIF(Sales_Data!$L$2:$L$251,"COD",Sales_Data!$K$2:$K$251)</t>
  </si>
  <si>
    <t>Order ID with highest revenue</t>
  </si>
  <si>
    <t>=INDEX(Sales_Data!$A$2:$A$251,SUMPRODUCT(MAX((Sales_Data!$I$2:$I$251*Sales_Data!$J$2:$J$251*(1-Sales_Data!$K$2:$K$251)=C6)*(ROW(Sales_Data!$A$2:$A$251)-1))))</t>
  </si>
  <si>
    <t>Uses 3b as the max value</t>
  </si>
  <si>
    <t>Total profit</t>
  </si>
  <si>
    <t>=SUMPRODUCT(Sales_Data!$I$2:$I$251*Sales_Data!$J$2:$J$251*(1-Sales_Data!$K$2:$K$251))-SUMPRODUCT(Sales_Data!$I$2:$I$251*SUMIF(Product_Master!$A$2:$A$13,Sales_Data!$H$2:$H$251,Product_Master!$D$2:$D$13))</t>
  </si>
  <si>
    <t>Per row: =VLOOKUP(H2,Product_Master!$A$2:$D$13,4,FALSE) then =N2-I2*Q2</t>
  </si>
  <si>
    <t>Orders: discount ≥10% &amp; qty &gt; 5</t>
  </si>
  <si>
    <t>=COUNTIFS(Sales_Data!$K$2:$K$251,"&gt;=0.1",Sales_Data!$I$2:$I$251,"&gt;5")</t>
  </si>
  <si>
    <t>Return rate — Clothing</t>
  </si>
  <si>
    <t>=COUNTIFS(Sales_Data!$G$2:$G$251,"Clothing",Sales_Data!$M$2:$M$251,"Returned")/COUNTIF(Sales_Data!$G$2:$G$251,"Clothing")</t>
  </si>
  <si>
    <t>See table D on Answer_Tables</t>
  </si>
  <si>
    <t>Weekend orders</t>
  </si>
  <si>
    <t>=SUMPRODUCT(--(WEEKDAY(Sales_Data!$B$2:$B$251,2)&gt;5))</t>
  </si>
  <si>
    <t>Avg delivery days — West</t>
  </si>
  <si>
    <t>=SUMPRODUCT((Sales_Data!$D$2:$D$251="West")*(Sales_Data!$C$2:$C$251&lt;&gt;"")*(Sales_Data!$C$2:$C$251-Sales_Data!$B$2:$B$251))/SUMPRODUCT((Sales_Data!$D$2:$D$251="West")*(Sales_Data!$C$2:$C$251&lt;&gt;""))</t>
  </si>
  <si>
    <t>Per row: =IF(C2="","",C2-B2) then AVERAGEIFS</t>
  </si>
  <si>
    <t>Salespeople who met target</t>
  </si>
  <si>
    <t>=COUNTIF(Answer_Tables!F3:F10,"Target Met")</t>
  </si>
  <si>
    <t>Full table: Answer_Tables section A</t>
  </si>
  <si>
    <t>=Answer_Tables!B12</t>
  </si>
  <si>
    <t>Answer_Tables section A</t>
  </si>
  <si>
    <t>Peak revenue month</t>
  </si>
  <si>
    <t>=INDEX(Answer_Tables!B23:B34,MATCH(MAX(Answer_Tables!C23:C34),Answer_Tables!C23:C34,0))</t>
  </si>
  <si>
    <t>Answer_Tables section B (also cumulative &amp; MoM)</t>
  </si>
  <si>
    <t>Grand total of Region × Category grid</t>
  </si>
  <si>
    <t>=Answer_Tables!F44</t>
  </si>
  <si>
    <t>Answer_Tables section C — must equal Q1</t>
  </si>
  <si>
    <t>Electronics share of revenue</t>
  </si>
  <si>
    <t>=Answer_Tables!B47</t>
  </si>
  <si>
    <t>Answer_Tables section C</t>
  </si>
  <si>
    <t>3rd-ranked salesperson</t>
  </si>
  <si>
    <t>=Answer_Tables!B18</t>
  </si>
  <si>
    <t>Answer_Tables top-3 table</t>
  </si>
  <si>
    <t>Unique cities</t>
  </si>
  <si>
    <t>=SUMPRODUCT(1/COUNTIF(Sales_Data!$E$2:$E$251,Sales_Data!$E$2:$E$251))</t>
  </si>
  <si>
    <t>Pivot grand total (should match Q1)</t>
  </si>
  <si>
    <t>=C2</t>
  </si>
  <si>
    <t>Your PivotTable's Grand Total must show this</t>
  </si>
  <si>
    <t>Cleaned name — row 1</t>
  </si>
  <si>
    <t>=Answer_Tables!A60</t>
  </si>
  <si>
    <t>Answer_Tables section E:  =PROPER(TRIM(A2))</t>
  </si>
  <si>
    <t>First name — row 1</t>
  </si>
  <si>
    <t>=Answer_Tables!B60</t>
  </si>
  <si>
    <t>=LEFT(F2,FIND(" ",F2)-1)</t>
  </si>
  <si>
    <t>Phone — row 1</t>
  </si>
  <si>
    <t>=Answer_Tables!C60</t>
  </si>
  <si>
    <t>=RIGHT(SUBSTITUTE(SUBSTITUTE(SUBSTITUTE(TRIM(B2)," ",""),"-",""),"+",""),10)</t>
  </si>
  <si>
    <t>Total cleaned amount</t>
  </si>
  <si>
    <t>=Answer_Tables!E74</t>
  </si>
  <si>
    <t>=VALUE(SUBSTITUTE(SUBSTITUTE(SUBSTITUTE(SUBSTITUTE(D2,"₹",""),"Rs.","")," ",""),",",""))</t>
  </si>
  <si>
    <t>Unique customers after cleaning</t>
  </si>
  <si>
    <t>=Answer_Tables!B73</t>
  </si>
  <si>
    <t>Duplicates are the same person typed differently</t>
  </si>
  <si>
    <t>Q24, Q25 (conditional formatting, dashboard) are visual — no single answer cell.</t>
  </si>
  <si>
    <t>Riya Sharma</t>
  </si>
  <si>
    <t>Amit Verma</t>
  </si>
  <si>
    <t>Priya Nair</t>
  </si>
  <si>
    <t>Karan Mehta</t>
  </si>
  <si>
    <t>Sneha Iyer</t>
  </si>
  <si>
    <t>Rahul Das</t>
  </si>
  <si>
    <t>Row Labels</t>
  </si>
  <si>
    <t>Grand Total</t>
  </si>
  <si>
    <t>Column Labels</t>
  </si>
  <si>
    <t>Unique_cutsomer</t>
  </si>
  <si>
    <t>sum_product</t>
  </si>
  <si>
    <t>Total Unit Sold</t>
  </si>
  <si>
    <t>Average  Revenue per order</t>
  </si>
  <si>
    <t>Highest single-order revenue</t>
  </si>
  <si>
    <t>Lowest single-order revenue</t>
  </si>
  <si>
    <t>Deliverd</t>
  </si>
  <si>
    <t>Revenue in West</t>
  </si>
  <si>
    <t>Revenue by Delievered  only prod</t>
  </si>
  <si>
    <t>Revenue from Electronics in North</t>
  </si>
  <si>
    <t>Average discount on upi</t>
  </si>
  <si>
    <t xml:space="preserve">average Discount on upi and cod </t>
  </si>
  <si>
    <t>Using Filter avg discount on upi+cod</t>
  </si>
  <si>
    <t>Filter</t>
  </si>
  <si>
    <t>day of week</t>
  </si>
  <si>
    <t>What is the return rate (%) for Clothing? Returned orders ÷ all orders in that category.</t>
  </si>
  <si>
    <t>Average delievery day sin the west region</t>
  </si>
  <si>
    <t>Achieved</t>
  </si>
  <si>
    <t>Acheivement %</t>
  </si>
  <si>
    <t>Highest Revenue</t>
  </si>
  <si>
    <t>Salesperson who met target</t>
  </si>
  <si>
    <t>MONTH NO</t>
  </si>
  <si>
    <t>MONTH</t>
  </si>
  <si>
    <t>REVENUE</t>
  </si>
  <si>
    <t>CUMULATIVE</t>
  </si>
  <si>
    <t>MOM GROWTH%</t>
  </si>
  <si>
    <t>TOTAL</t>
  </si>
  <si>
    <t>CATEGORY</t>
  </si>
  <si>
    <t>RANK</t>
  </si>
  <si>
    <t>SALESPERSON</t>
  </si>
  <si>
    <t>no of unique CITIES</t>
  </si>
  <si>
    <t>Count of Revenue (₹)  ← add</t>
  </si>
  <si>
    <t>Avg discount</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</si>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</sst>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 &quot;₹&quot;\ * #,##0.00_ ;_ &quot;₹&quot;\ * \-#,##0.00_ ;_ &quot;₹&quot;\ * &quot;-&quot;??_ ;_ @_ "/>
    <numFmt numFmtId="43" formatCode="_ * #,##0.00_ ;_ * \-#,##0.00_ ;_ * &quot;-&quot;??_ ;_ @_ "/>
    <numFmt numFmtId="164" formatCode="dd\-mmm\-yyyy"/>
    <numFmt numFmtId="165" formatCode="\₹#,##0"/>
    <numFmt numFmtId="166" formatCode="0.0%"/>
  </numFmts>
  <fonts count="12" x14ac:knownFonts="1">
    <font>
      <sz val="11"/>
      <color theme="1"/>
      <name val="Calibri"/>
      <family val="2"/>
      <charset val="1"/>
    </font>
    <font>
      <sz val="10"/>
      <name val="Arial"/>
      <family val="2"/>
    </font>
    <font>
      <b/>
      <sz val="12"/>
      <color rgb="FF1F3864"/>
      <name val="Arial"/>
      <family val="2"/>
    </font>
    <font>
      <sz val="10"/>
      <name val="Arial"/>
      <family val="2"/>
    </font>
    <font>
      <b/>
      <sz val="10"/>
      <name val="Arial"/>
      <family val="2"/>
    </font>
    <font>
      <b/>
      <sz val="10"/>
      <color rgb="FFFFFFFF"/>
      <name val="Arial"/>
      <family val="2"/>
    </font>
    <font>
      <sz val="10"/>
      <color rgb="FF0000FF"/>
      <name val="Arial"/>
      <family val="2"/>
    </font>
    <font>
      <i/>
      <sz val="9"/>
      <name val="Arial"/>
      <family val="2"/>
    </font>
    <font>
      <sz val="11"/>
      <color rgb="FF374151"/>
      <name val="Calibri"/>
      <family val="2"/>
      <scheme val="minor"/>
    </font>
    <font>
      <sz val="11"/>
      <color theme="0"/>
      <name val="Calibri"/>
      <family val="2"/>
      <charset val="1"/>
    </font>
    <font>
      <b/>
      <sz val="11"/>
      <color theme="0"/>
      <name val="Calibri"/>
      <family val="2"/>
    </font>
    <font>
      <b/>
      <sz val="11"/>
      <color theme="1"/>
      <name val="Calibri"/>
      <family val="2"/>
    </font>
  </fonts>
  <fills count="12">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DDEBF7"/>
        <bgColor rgb="FFE2EFDA"/>
      </patternFill>
    </fill>
    <fill>
      <patternFill patternType="solid">
        <fgColor rgb="FFFFD966"/>
        <bgColor rgb="FFFFCC00"/>
      </patternFill>
    </fill>
    <fill>
      <patternFill patternType="solid">
        <fgColor theme="9" tint="0.59999389629810485"/>
        <bgColor indexed="64"/>
      </patternFill>
    </fill>
    <fill>
      <patternFill patternType="solid">
        <fgColor rgb="FFFFFF00"/>
        <bgColor indexed="64"/>
      </patternFill>
    </fill>
    <fill>
      <patternFill patternType="solid">
        <fgColor theme="3"/>
        <bgColor indexed="64"/>
      </patternFill>
    </fill>
    <fill>
      <patternFill patternType="solid">
        <fgColor theme="4"/>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3">
    <xf numFmtId="0" fontId="0" fillId="0" borderId="0"/>
    <xf numFmtId="44" fontId="1" fillId="0" borderId="0" applyBorder="0" applyAlignment="0" applyProtection="0"/>
    <xf numFmtId="9" fontId="1" fillId="0" borderId="0" applyBorder="0" applyAlignment="0" applyProtection="0"/>
  </cellStyleXfs>
  <cellXfs count="47">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164" fontId="3" fillId="0" borderId="0" xfId="0" applyNumberFormat="1" applyFont="1"/>
    <xf numFmtId="3" fontId="3" fillId="0" borderId="0" xfId="0" applyNumberFormat="1" applyFont="1"/>
    <xf numFmtId="9" fontId="3" fillId="0" borderId="0" xfId="0" applyNumberFormat="1" applyFont="1"/>
    <xf numFmtId="3" fontId="6" fillId="0" borderId="0" xfId="0" applyNumberFormat="1" applyFont="1"/>
    <xf numFmtId="0" fontId="7" fillId="0" borderId="0" xfId="0" applyFont="1"/>
    <xf numFmtId="165" fontId="3" fillId="0" borderId="0" xfId="0" applyNumberFormat="1" applyFont="1"/>
    <xf numFmtId="166" fontId="3" fillId="0" borderId="0" xfId="0" applyNumberFormat="1" applyFont="1"/>
    <xf numFmtId="165" fontId="4" fillId="0" borderId="0" xfId="0" applyNumberFormat="1" applyFont="1"/>
    <xf numFmtId="166" fontId="4" fillId="0" borderId="0" xfId="0" applyNumberFormat="1" applyFont="1"/>
    <xf numFmtId="3" fontId="4" fillId="0" borderId="0" xfId="0" applyNumberFormat="1" applyFont="1"/>
    <xf numFmtId="165" fontId="4" fillId="0" borderId="1" xfId="0" applyNumberFormat="1" applyFont="1" applyBorder="1" applyAlignment="1">
      <alignment vertical="top" wrapText="1"/>
    </xf>
    <xf numFmtId="1" fontId="4" fillId="0" borderId="1" xfId="0" applyNumberFormat="1" applyFont="1" applyBorder="1" applyAlignment="1">
      <alignment vertical="top" wrapText="1"/>
    </xf>
    <xf numFmtId="3" fontId="4" fillId="0" borderId="1" xfId="0" applyNumberFormat="1" applyFont="1" applyBorder="1" applyAlignment="1">
      <alignment vertical="top" wrapText="1"/>
    </xf>
    <xf numFmtId="10" fontId="4" fillId="0" borderId="1" xfId="0" applyNumberFormat="1" applyFont="1" applyBorder="1" applyAlignment="1">
      <alignment vertical="top" wrapText="1"/>
    </xf>
    <xf numFmtId="4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2" fontId="4" fillId="0" borderId="1" xfId="0" applyNumberFormat="1" applyFont="1" applyBorder="1" applyAlignment="1">
      <alignment vertical="top" wrapText="1"/>
    </xf>
    <xf numFmtId="1" fontId="1" fillId="0" borderId="0" xfId="1" applyNumberFormat="1"/>
    <xf numFmtId="43" fontId="1" fillId="0" borderId="0" xfId="1" applyNumberFormat="1"/>
    <xf numFmtId="6" fontId="1" fillId="0" borderId="0" xfId="1" applyNumberFormat="1"/>
    <xf numFmtId="6" fontId="0" fillId="0" borderId="0" xfId="0" applyNumberFormat="1"/>
    <xf numFmtId="0" fontId="1" fillId="0" borderId="0" xfId="0" applyFont="1"/>
    <xf numFmtId="0" fontId="5" fillId="2"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8" fillId="0" borderId="0" xfId="0" applyFont="1"/>
    <xf numFmtId="0" fontId="0" fillId="8" borderId="0" xfId="0" applyFill="1"/>
    <xf numFmtId="0" fontId="8" fillId="8" borderId="0" xfId="0" applyFont="1" applyFill="1"/>
    <xf numFmtId="9" fontId="1" fillId="0" borderId="0" xfId="2"/>
    <xf numFmtId="0" fontId="8" fillId="0" borderId="0" xfId="0" applyFont="1" applyAlignment="1">
      <alignment wrapText="1"/>
    </xf>
    <xf numFmtId="0" fontId="3" fillId="9" borderId="1" xfId="0" applyFont="1" applyFill="1" applyBorder="1" applyAlignment="1">
      <alignment vertical="top" wrapText="1"/>
    </xf>
    <xf numFmtId="0" fontId="9" fillId="10" borderId="0" xfId="0" applyFont="1" applyFill="1"/>
    <xf numFmtId="0" fontId="10" fillId="10" borderId="0" xfId="0" applyFont="1" applyFill="1"/>
    <xf numFmtId="0" fontId="11" fillId="0" borderId="0" xfId="0" applyFont="1"/>
    <xf numFmtId="0" fontId="0" fillId="0" borderId="0" xfId="0" pivotButton="1"/>
    <xf numFmtId="0" fontId="0" fillId="0" borderId="0" xfId="0" applyAlignment="1">
      <alignment horizontal="left"/>
    </xf>
    <xf numFmtId="0" fontId="0" fillId="0" borderId="0" xfId="0" applyNumberFormat="1"/>
    <xf numFmtId="0" fontId="9" fillId="11" borderId="0" xfId="0" applyFont="1" applyFill="1"/>
  </cellXfs>
  <cellStyles count="3">
    <cellStyle name="Currency" xfId="1" builtinId="4"/>
    <cellStyle name="Normal" xfId="0" builtinId="0"/>
    <cellStyle name="Percent" xfId="2" builtinId="5"/>
  </cellStyles>
  <dxfs count="36">
    <dxf>
      <fill>
        <patternFill>
          <bgColor rgb="FFFF0000"/>
        </patternFill>
      </fill>
    </dxf>
    <dxf>
      <font>
        <b val="0"/>
        <i val="0"/>
        <strike val="0"/>
        <condense val="0"/>
        <extend val="0"/>
        <outline val="0"/>
        <shadow val="0"/>
        <u val="none"/>
        <vertAlign val="baseline"/>
        <sz val="10"/>
        <color rgb="FF0000FF"/>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family val="2"/>
        <scheme val="none"/>
      </font>
    </dxf>
    <dxf>
      <border outline="0">
        <bottom style="thin">
          <color rgb="FFBFBFBF"/>
        </bottom>
      </border>
    </dxf>
    <dxf>
      <border outline="0">
        <top style="thin">
          <color rgb="FFBFBFBF"/>
        </top>
      </border>
    </dxf>
    <dxf>
      <font>
        <b/>
        <i val="0"/>
        <strike val="0"/>
        <condense val="0"/>
        <extend val="0"/>
        <outline val="0"/>
        <shadow val="0"/>
        <u val="none"/>
        <vertAlign val="baseline"/>
        <sz val="10"/>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FF"/>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border outline="0">
        <bottom style="thin">
          <color rgb="FFBFBFBF"/>
        </bottom>
      </border>
    </dxf>
    <dxf>
      <border outline="0">
        <top style="thin">
          <color rgb="FFBFBFBF"/>
        </top>
      </border>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d\-mmm\-yyyy"/>
    </dxf>
    <dxf>
      <font>
        <b val="0"/>
        <i val="0"/>
        <strike val="0"/>
        <condense val="0"/>
        <extend val="0"/>
        <outline val="0"/>
        <shadow val="0"/>
        <u val="none"/>
        <vertAlign val="baseline"/>
        <sz val="10"/>
        <color auto="1"/>
        <name val="Arial"/>
        <family val="2"/>
        <scheme val="none"/>
      </font>
      <numFmt numFmtId="164" formatCode="dd\-mmm\-yyyy"/>
    </dxf>
    <dxf>
      <font>
        <b val="0"/>
        <i val="0"/>
        <strike val="0"/>
        <condense val="0"/>
        <extend val="0"/>
        <outline val="0"/>
        <shadow val="0"/>
        <u val="none"/>
        <vertAlign val="baseline"/>
        <sz val="10"/>
        <color auto="1"/>
        <name val="Arial"/>
        <family val="2"/>
        <scheme val="none"/>
      </font>
    </dxf>
    <dxf>
      <border outline="0">
        <bottom style="thin">
          <color rgb="FFBFBFBF"/>
        </bottom>
      </border>
    </dxf>
    <dxf>
      <border outline="0">
        <top style="thin">
          <color rgb="FFBFBFBF"/>
        </top>
      </border>
    </dxf>
    <dxf>
      <font>
        <b/>
        <i val="0"/>
        <strike val="0"/>
        <condense val="0"/>
        <extend val="0"/>
        <outline val="0"/>
        <shadow val="0"/>
        <u val="none"/>
        <vertAlign val="baseline"/>
        <sz val="10"/>
        <color auto="1"/>
        <name val="Arial"/>
        <family val="2"/>
        <scheme val="none"/>
      </font>
      <fill>
        <patternFill patternType="solid">
          <fgColor rgb="FFFFCC00"/>
          <bgColor rgb="FFFFD96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10"/>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FF"/>
        <name val="Arial"/>
        <family val="2"/>
        <scheme val="none"/>
      </font>
      <numFmt numFmtId="3" formatCode="#,##0"/>
    </dxf>
    <dxf>
      <font>
        <b val="0"/>
        <i val="0"/>
        <strike val="0"/>
        <condense val="0"/>
        <extend val="0"/>
        <outline val="0"/>
        <shadow val="0"/>
        <u val="none"/>
        <vertAlign val="baseline"/>
        <sz val="10"/>
        <color rgb="FF0000FF"/>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border outline="0">
        <bottom style="thin">
          <color rgb="FFBFBFBF"/>
        </bottom>
      </border>
    </dxf>
    <dxf>
      <border outline="0">
        <top style="thin">
          <color rgb="FFBFBFBF"/>
        </top>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D96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[Excel_Practice_Sales_Analysis.xlsx]Dashboard!PivotTable20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Dashboard!$B$7:$B$8</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Dashboard!$A$9:$A$13</c:f>
              <c:strCache>
                <c:ptCount val="4"/>
                <c:pt idx="0">
                  <c:v>East</c:v>
                </c:pt>
                <c:pt idx="1">
                  <c:v>North</c:v>
                </c:pt>
                <c:pt idx="2">
                  <c:v>South</c:v>
                </c:pt>
                <c:pt idx="3">
                  <c:v>West</c:v>
                </c:pt>
              </c:strCache>
            </c:strRef>
          </c:cat>
          <c:val>
            <c:numRef>
              <c:f>Dashboard!$B$9:$B$13</c:f>
              <c:numCache>
                <c:formatCode>General</c:formatCode>
                <c:ptCount val="4"/>
                <c:pt idx="0">
                  <c:v>3</c:v>
                </c:pt>
                <c:pt idx="1">
                  <c:v>1</c:v>
                </c:pt>
                <c:pt idx="2">
                  <c:v>1</c:v>
                </c:pt>
                <c:pt idx="3">
                  <c:v>1</c:v>
                </c:pt>
              </c:numCache>
            </c:numRef>
          </c:val>
          <c:extLst>
            <c:ext xmlns:c16="http://schemas.microsoft.com/office/drawing/2014/chart" uri="{C3380CC4-5D6E-409C-BE32-E72D297353CC}">
              <c16:uniqueId val="{00000000-F77F-451C-825D-068979218892}"/>
            </c:ext>
          </c:extLst>
        </c:ser>
        <c:ser>
          <c:idx val="1"/>
          <c:order val="1"/>
          <c:tx>
            <c:strRef>
              <c:f>Dashboard!$C$7:$C$8</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Dashboard!$A$9:$A$13</c:f>
              <c:strCache>
                <c:ptCount val="4"/>
                <c:pt idx="0">
                  <c:v>East</c:v>
                </c:pt>
                <c:pt idx="1">
                  <c:v>North</c:v>
                </c:pt>
                <c:pt idx="2">
                  <c:v>South</c:v>
                </c:pt>
                <c:pt idx="3">
                  <c:v>West</c:v>
                </c:pt>
              </c:strCache>
            </c:strRef>
          </c:cat>
          <c:val>
            <c:numRef>
              <c:f>Dashboard!$C$9:$C$13</c:f>
              <c:numCache>
                <c:formatCode>General</c:formatCode>
                <c:ptCount val="4"/>
                <c:pt idx="0">
                  <c:v>1</c:v>
                </c:pt>
                <c:pt idx="2">
                  <c:v>4</c:v>
                </c:pt>
                <c:pt idx="3">
                  <c:v>5</c:v>
                </c:pt>
              </c:numCache>
            </c:numRef>
          </c:val>
          <c:extLst>
            <c:ext xmlns:c16="http://schemas.microsoft.com/office/drawing/2014/chart" uri="{C3380CC4-5D6E-409C-BE32-E72D297353CC}">
              <c16:uniqueId val="{00000001-F77F-451C-825D-068979218892}"/>
            </c:ext>
          </c:extLst>
        </c:ser>
        <c:ser>
          <c:idx val="2"/>
          <c:order val="2"/>
          <c:tx>
            <c:strRef>
              <c:f>Dashboard!$D$7:$D$8</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Dashboard!$A$9:$A$13</c:f>
              <c:strCache>
                <c:ptCount val="4"/>
                <c:pt idx="0">
                  <c:v>East</c:v>
                </c:pt>
                <c:pt idx="1">
                  <c:v>North</c:v>
                </c:pt>
                <c:pt idx="2">
                  <c:v>South</c:v>
                </c:pt>
                <c:pt idx="3">
                  <c:v>West</c:v>
                </c:pt>
              </c:strCache>
            </c:strRef>
          </c:cat>
          <c:val>
            <c:numRef>
              <c:f>Dashboard!$D$9:$D$13</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02-F77F-451C-825D-068979218892}"/>
            </c:ext>
          </c:extLst>
        </c:ser>
        <c:ser>
          <c:idx val="3"/>
          <c:order val="3"/>
          <c:tx>
            <c:strRef>
              <c:f>Dashboard!$E$7:$E$8</c:f>
              <c:strCache>
                <c:ptCount val="1"/>
                <c:pt idx="0">
                  <c:v>Stationery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Dashboard!$A$9:$A$13</c:f>
              <c:strCache>
                <c:ptCount val="4"/>
                <c:pt idx="0">
                  <c:v>East</c:v>
                </c:pt>
                <c:pt idx="1">
                  <c:v>North</c:v>
                </c:pt>
                <c:pt idx="2">
                  <c:v>South</c:v>
                </c:pt>
                <c:pt idx="3">
                  <c:v>West</c:v>
                </c:pt>
              </c:strCache>
            </c:strRef>
          </c:cat>
          <c:val>
            <c:numRef>
              <c:f>Dashboard!$E$9:$E$13</c:f>
              <c:numCache>
                <c:formatCode>General</c:formatCode>
                <c:ptCount val="4"/>
                <c:pt idx="0">
                  <c:v>2</c:v>
                </c:pt>
                <c:pt idx="1">
                  <c:v>3</c:v>
                </c:pt>
                <c:pt idx="2">
                  <c:v>4</c:v>
                </c:pt>
                <c:pt idx="3">
                  <c:v>3</c:v>
                </c:pt>
              </c:numCache>
            </c:numRef>
          </c:val>
          <c:extLst>
            <c:ext xmlns:c16="http://schemas.microsoft.com/office/drawing/2014/chart" uri="{C3380CC4-5D6E-409C-BE32-E72D297353CC}">
              <c16:uniqueId val="{00000003-F77F-451C-825D-068979218892}"/>
            </c:ext>
          </c:extLst>
        </c:ser>
        <c:dLbls>
          <c:dLblPos val="ctr"/>
          <c:showLegendKey val="0"/>
          <c:showVal val="1"/>
          <c:showCatName val="0"/>
          <c:showSerName val="0"/>
          <c:showPercent val="0"/>
          <c:showBubbleSize val="0"/>
        </c:dLbls>
        <c:gapWidth val="150"/>
        <c:overlap val="100"/>
        <c:axId val="1142961807"/>
        <c:axId val="1821652591"/>
      </c:barChart>
      <c:catAx>
        <c:axId val="11429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52591"/>
        <c:crosses val="autoZero"/>
        <c:auto val="1"/>
        <c:lblAlgn val="ctr"/>
        <c:lblOffset val="100"/>
        <c:noMultiLvlLbl val="0"/>
      </c:catAx>
      <c:valAx>
        <c:axId val="182165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198226</xdr:colOff>
      <xdr:row>6</xdr:row>
      <xdr:rowOff>7620</xdr:rowOff>
    </xdr:from>
    <xdr:to>
      <xdr:col>8</xdr:col>
      <xdr:colOff>304800</xdr:colOff>
      <xdr:row>12</xdr:row>
      <xdr:rowOff>154279</xdr:rowOff>
    </xdr:to>
    <mc:AlternateContent xmlns:mc="http://schemas.openxmlformats.org/markup-compatibility/2006">
      <mc:Choice xmlns:a14="http://schemas.microsoft.com/office/drawing/2010/main" Requires="a14">
        <xdr:graphicFrame macro="">
          <xdr:nvGraphicFramePr>
            <xdr:cNvPr id="2" name="Status">
              <a:extLst>
                <a:ext uri="{FF2B5EF4-FFF2-40B4-BE49-F238E27FC236}">
                  <a16:creationId xmlns:a16="http://schemas.microsoft.com/office/drawing/2014/main" id="{76EAE127-9A4D-4D56-B64C-97EF7F9734E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707486" y="1104900"/>
              <a:ext cx="1325774" cy="12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13</xdr:row>
      <xdr:rowOff>65656</xdr:rowOff>
    </xdr:from>
    <xdr:to>
      <xdr:col>4</xdr:col>
      <xdr:colOff>518160</xdr:colOff>
      <xdr:row>28</xdr:row>
      <xdr:rowOff>65656</xdr:rowOff>
    </xdr:to>
    <xdr:graphicFrame macro="">
      <xdr:nvGraphicFramePr>
        <xdr:cNvPr id="3" name="Chart 2">
          <a:extLst>
            <a:ext uri="{FF2B5EF4-FFF2-40B4-BE49-F238E27FC236}">
              <a16:creationId xmlns:a16="http://schemas.microsoft.com/office/drawing/2014/main" id="{66EE16C2-1F65-469F-B863-B71F90E18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508251967593" createdVersion="8" refreshedVersion="8" minRefreshableVersion="3" recordCount="250" xr:uid="{43E97433-FE06-4072-9B07-7723163D0157}">
  <cacheSource type="worksheet">
    <worksheetSource name="table1"/>
  </cacheSource>
  <cacheFields count="20">
    <cacheField name="Order ID" numFmtId="0">
      <sharedItems/>
    </cacheField>
    <cacheField name="Order Date" numFmtId="164">
      <sharedItems containsSemiMixedTypes="0" containsNonDate="0" containsDate="1" containsString="0" minDate="2025-01-02T00:00:00" maxDate="2025-12-31T00:00:00"/>
    </cacheField>
    <cacheField name="Delivery Date" numFmtId="164">
      <sharedItems containsNonDate="0" containsDate="1" containsString="0" containsBlank="1" minDate="2025-01-07T00:00:00" maxDate="2026-01-09T00:00:00"/>
    </cacheField>
    <cacheField name="Region" numFmtId="0">
      <sharedItems count="4">
        <s v="East"/>
        <s v="South"/>
        <s v="North"/>
        <s v="West"/>
      </sharedItems>
    </cacheField>
    <cacheField name="City" numFmtId="0">
      <sharedItems/>
    </cacheField>
    <cacheField name="Salesperson" numFmtId="0">
      <sharedItems/>
    </cacheField>
    <cacheField name="Category" numFmtId="0">
      <sharedItems count="4">
        <s v="Stationery"/>
        <s v="Clothing"/>
        <s v="Furniture"/>
        <s v="Electronics"/>
      </sharedItems>
    </cacheField>
    <cacheField name="Product" numFmtId="0">
      <sharedItems/>
    </cacheField>
    <cacheField name="Quantity" numFmtId="0">
      <sharedItems containsSemiMixedTypes="0" containsString="0" containsNumber="1" containsInteger="1" minValue="1" maxValue="24"/>
    </cacheField>
    <cacheField name="Unit Price (₹)" numFmtId="3">
      <sharedItems containsSemiMixedTypes="0" containsString="0" containsNumber="1" containsInteger="1" minValue="249" maxValue="8499"/>
    </cacheField>
    <cacheField name="Discount %" numFmtId="9">
      <sharedItems containsSemiMixedTypes="0" containsString="0" containsNumber="1" minValue="0" maxValue="0.2"/>
    </cacheField>
    <cacheField name="Payment Mode" numFmtId="0">
      <sharedItems/>
    </cacheField>
    <cacheField name="Status" numFmtId="0">
      <sharedItems count="3">
        <s v="Delivered"/>
        <s v="Cancelled"/>
        <s v="Returned"/>
      </sharedItems>
    </cacheField>
    <cacheField name="Revenue (₹)  ← add" numFmtId="0">
      <sharedItems containsMixedTypes="1" containsNumber="1" minValue="719.1" maxValue="25497"/>
    </cacheField>
    <cacheField name="Month  ← add" numFmtId="0">
      <sharedItems/>
    </cacheField>
    <cacheField name="Order Size  ← add" numFmtId="0">
      <sharedItems/>
    </cacheField>
    <cacheField name="Cost Price  ← add" numFmtId="0">
      <sharedItems containsSemiMixedTypes="0" containsString="0" containsNumber="1" containsInteger="1" minValue="120" maxValue="5200"/>
    </cacheField>
    <cacheField name="Profit  ← add" numFmtId="0">
      <sharedItems containsSemiMixedTypes="0" containsString="0" containsNumber="1" minValue="-1500" maxValue="20297"/>
    </cacheField>
    <cacheField name="Delivery Days  ← add" numFmtId="0">
      <sharedItems containsMixedTypes="1" containsNumber="1" containsInteger="1" minValue="2" maxValue="9"/>
    </cacheField>
    <cacheField name="day of week" numFmtId="0">
      <sharedItems/>
    </cacheField>
  </cacheFields>
  <extLst>
    <ext xmlns:x14="http://schemas.microsoft.com/office/spreadsheetml/2009/9/main" uri="{725AE2AE-9491-48be-B2B4-4EB974FC3084}">
      <x14:pivotCacheDefinition pivotCacheId="1613979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1001"/>
    <d v="2025-01-02T00:00:00"/>
    <d v="2025-01-07T00:00:00"/>
    <x v="0"/>
    <s v="Bhubaneswar"/>
    <s v="Rohit Das"/>
    <x v="0"/>
    <s v="Gel Pen Box"/>
    <n v="8"/>
    <n v="249"/>
    <n v="0.1"/>
    <s v="COD"/>
    <x v="0"/>
    <n v="1792.8"/>
    <s v="January"/>
    <s v="Low"/>
    <n v="120"/>
    <n v="1672.8"/>
    <n v="5"/>
    <s v="Thursday"/>
  </r>
  <r>
    <s v="ORD1002"/>
    <d v="2025-01-07T00:00:00"/>
    <d v="2025-01-14T00:00:00"/>
    <x v="0"/>
    <s v="Kolkata"/>
    <s v="Rohit Das"/>
    <x v="1"/>
    <s v="Denim Jacket"/>
    <n v="4"/>
    <n v="2999"/>
    <n v="0"/>
    <s v="COD"/>
    <x v="0"/>
    <n v="11996"/>
    <s v="January"/>
    <s v="Medium"/>
    <n v="1700"/>
    <n v="10296"/>
    <n v="7"/>
    <s v="Tuesday"/>
  </r>
  <r>
    <s v="ORD1003"/>
    <d v="2025-01-08T00:00:00"/>
    <d v="2025-01-11T00:00:00"/>
    <x v="0"/>
    <s v="Kolkata"/>
    <s v="Rohit Das"/>
    <x v="2"/>
    <s v="Study Desk"/>
    <n v="2"/>
    <n v="8499"/>
    <n v="0.05"/>
    <s v="UPI"/>
    <x v="0"/>
    <n v="16148.099999999999"/>
    <s v="January"/>
    <s v="High Value"/>
    <n v="5200"/>
    <n v="10948.099999999999"/>
    <n v="3"/>
    <s v="Wednesday"/>
  </r>
  <r>
    <s v="ORD1004"/>
    <d v="2025-01-11T00:00:00"/>
    <d v="2025-01-20T00:00:00"/>
    <x v="1"/>
    <s v="Hyderabad"/>
    <s v="Karthik Iyer"/>
    <x v="1"/>
    <s v="Cotton T-Shirt"/>
    <n v="5"/>
    <n v="599"/>
    <n v="0"/>
    <s v="COD"/>
    <x v="0"/>
    <n v="2995"/>
    <s v="January"/>
    <s v="Low"/>
    <n v="300"/>
    <n v="2695"/>
    <n v="9"/>
    <s v="Saturday"/>
  </r>
  <r>
    <s v="ORD1005"/>
    <d v="2025-01-11T00:00:00"/>
    <d v="2025-01-16T00:00:00"/>
    <x v="1"/>
    <s v="Chennai"/>
    <s v="Meera Nair"/>
    <x v="0"/>
    <s v="Gel Pen Box"/>
    <n v="8"/>
    <n v="249"/>
    <n v="0.1"/>
    <s v="COD"/>
    <x v="0"/>
    <n v="1792.8"/>
    <s v="January"/>
    <s v="Low"/>
    <n v="300"/>
    <n v="1492.8"/>
    <n v="5"/>
    <s v="Saturday"/>
  </r>
  <r>
    <s v="ORD1006"/>
    <d v="2025-01-12T00:00:00"/>
    <m/>
    <x v="0"/>
    <s v="Bhubaneswar"/>
    <s v="Ananya Sen"/>
    <x v="1"/>
    <s v="Denim Jacket"/>
    <n v="2"/>
    <n v="2999"/>
    <n v="0.2"/>
    <s v="Net Banking"/>
    <x v="1"/>
    <n v="4798.4000000000005"/>
    <s v="January"/>
    <s v="Low"/>
    <n v="1700"/>
    <n v="3098.4000000000005"/>
    <s v=""/>
    <s v="Sunday"/>
  </r>
  <r>
    <s v="ORD1007"/>
    <d v="2025-01-12T00:00:00"/>
    <d v="2025-01-18T00:00:00"/>
    <x v="0"/>
    <s v="Kolkata"/>
    <s v="Ananya Sen"/>
    <x v="3"/>
    <s v="Power Bank"/>
    <n v="3"/>
    <n v="1499"/>
    <n v="0.1"/>
    <s v="UPI"/>
    <x v="2"/>
    <n v="4047.3"/>
    <s v="January"/>
    <s v="Low"/>
    <n v="850"/>
    <n v="3197.3"/>
    <n v="6"/>
    <s v="Sunday"/>
  </r>
  <r>
    <s v="ORD1008"/>
    <d v="2025-01-12T00:00:00"/>
    <d v="2025-01-20T00:00:00"/>
    <x v="0"/>
    <s v="Bhubaneswar"/>
    <s v="Ananya Sen"/>
    <x v="2"/>
    <s v="Study Desk"/>
    <n v="2"/>
    <n v="8499"/>
    <n v="0"/>
    <s v="UPI"/>
    <x v="0"/>
    <n v="16998"/>
    <s v="January"/>
    <s v="High Value"/>
    <n v="5200"/>
    <n v="11798"/>
    <n v="8"/>
    <s v="Sunday"/>
  </r>
  <r>
    <s v="ORD1009"/>
    <d v="2025-01-14T00:00:00"/>
    <d v="2025-01-21T00:00:00"/>
    <x v="2"/>
    <s v="Delhi"/>
    <s v="Simran Kaur"/>
    <x v="2"/>
    <s v="Study Desk"/>
    <n v="2"/>
    <n v="8499"/>
    <n v="0"/>
    <s v="Debit Card"/>
    <x v="0"/>
    <n v="16998"/>
    <s v="January"/>
    <s v="High Value"/>
    <n v="5200"/>
    <n v="11798"/>
    <n v="7"/>
    <s v="Tuesday"/>
  </r>
  <r>
    <s v="ORD1010"/>
    <d v="2025-01-15T00:00:00"/>
    <m/>
    <x v="1"/>
    <s v="Bengaluru"/>
    <s v="Karthik Iyer"/>
    <x v="3"/>
    <s v="Wireless Mouse"/>
    <n v="3"/>
    <n v="799"/>
    <n v="0.1"/>
    <s v="Credit Card"/>
    <x v="1"/>
    <n v="2157.3000000000002"/>
    <s v="January"/>
    <s v="Low"/>
    <n v="450"/>
    <n v="1707.3000000000002"/>
    <s v=""/>
    <s v="Wednesday"/>
  </r>
  <r>
    <s v="ORD1011"/>
    <d v="2025-01-19T00:00:00"/>
    <d v="2025-01-25T00:00:00"/>
    <x v="2"/>
    <s v="Chandigarh"/>
    <s v="Simran Kaur"/>
    <x v="1"/>
    <s v="Denim Jacket"/>
    <n v="2"/>
    <n v="2999"/>
    <n v="0.2"/>
    <s v="UPI"/>
    <x v="0"/>
    <n v="4798.4000000000005"/>
    <s v="January"/>
    <s v="Low"/>
    <n v="1700"/>
    <n v="3098.4000000000005"/>
    <n v="6"/>
    <s v="Sunday"/>
  </r>
  <r>
    <s v="ORD1012"/>
    <d v="2025-01-19T00:00:00"/>
    <d v="2025-01-24T00:00:00"/>
    <x v="1"/>
    <s v="Hyderabad"/>
    <s v="Karthik Iyer"/>
    <x v="3"/>
    <s v="Wireless Mouse"/>
    <n v="3"/>
    <n v="799"/>
    <n v="0.15"/>
    <s v="UPI"/>
    <x v="0"/>
    <n v="2037.45"/>
    <s v="January"/>
    <s v="Low"/>
    <n v="450"/>
    <n v="1587.45"/>
    <n v="5"/>
    <s v="Sunday"/>
  </r>
  <r>
    <s v="ORD1013"/>
    <d v="2025-01-21T00:00:00"/>
    <d v="2025-01-26T00:00:00"/>
    <x v="0"/>
    <s v="Kolkata"/>
    <s v="Rohit Das"/>
    <x v="0"/>
    <s v="Desk Organizer"/>
    <n v="6"/>
    <n v="599"/>
    <n v="0"/>
    <s v="COD"/>
    <x v="0"/>
    <n v="3594"/>
    <s v="January"/>
    <s v="Low"/>
    <n v="320"/>
    <n v="3274"/>
    <n v="5"/>
    <s v="Tuesday"/>
  </r>
  <r>
    <s v="ORD1014"/>
    <d v="2025-01-21T00:00:00"/>
    <d v="2025-01-24T00:00:00"/>
    <x v="1"/>
    <s v="Chennai"/>
    <s v="Meera Nair"/>
    <x v="3"/>
    <s v="Bluetooth Speaker"/>
    <n v="4"/>
    <n v="2499"/>
    <n v="0.2"/>
    <s v="COD"/>
    <x v="0"/>
    <n v="7996.8"/>
    <s v="January"/>
    <s v="Medium"/>
    <n v="1500"/>
    <n v="6496.8"/>
    <n v="3"/>
    <s v="Tuesday"/>
  </r>
  <r>
    <s v="ORD1015"/>
    <d v="2025-01-21T00:00:00"/>
    <d v="2025-01-28T00:00:00"/>
    <x v="3"/>
    <s v="Ahmedabad"/>
    <s v="Neha Joshi"/>
    <x v="3"/>
    <s v="Bluetooth Speaker"/>
    <n v="2"/>
    <n v="2499"/>
    <n v="0.05"/>
    <s v="Credit Card"/>
    <x v="2"/>
    <n v="4748.0999999999995"/>
    <s v="January"/>
    <s v="Low"/>
    <n v="1500"/>
    <n v="3248.0999999999995"/>
    <n v="7"/>
    <s v="Tuesday"/>
  </r>
  <r>
    <s v="ORD1016"/>
    <d v="2025-01-22T00:00:00"/>
    <d v="2025-01-28T00:00:00"/>
    <x v="0"/>
    <s v="Bhubaneswar"/>
    <s v="Ananya Sen"/>
    <x v="1"/>
    <s v="Cotton T-Shirt"/>
    <n v="8"/>
    <n v="599"/>
    <n v="0"/>
    <s v="UPI"/>
    <x v="0"/>
    <n v="4792"/>
    <s v="January"/>
    <s v="Low"/>
    <n v="300"/>
    <n v="4492"/>
    <n v="6"/>
    <s v="Wednesday"/>
  </r>
  <r>
    <s v="ORD1017"/>
    <d v="2025-01-25T00:00:00"/>
    <d v="2025-01-28T00:00:00"/>
    <x v="3"/>
    <s v="Pune"/>
    <s v="Vikram Shah"/>
    <x v="1"/>
    <s v="Cotton T-Shirt"/>
    <n v="2"/>
    <n v="599"/>
    <n v="0.2"/>
    <s v="COD"/>
    <x v="0"/>
    <n v="958.40000000000009"/>
    <s v="January"/>
    <s v="Low"/>
    <n v="300"/>
    <n v="658.40000000000009"/>
    <n v="3"/>
    <s v="Saturday"/>
  </r>
  <r>
    <s v="ORD1018"/>
    <d v="2025-01-26T00:00:00"/>
    <d v="2025-02-02T00:00:00"/>
    <x v="3"/>
    <s v="Ahmedabad"/>
    <s v="Neha Joshi"/>
    <x v="1"/>
    <s v="Cotton T-Shirt"/>
    <n v="4"/>
    <n v="599"/>
    <n v="0.05"/>
    <s v="UPI"/>
    <x v="0"/>
    <n v="2276.1999999999998"/>
    <s v="January"/>
    <s v="Low"/>
    <n v="300"/>
    <n v="1976.1999999999998"/>
    <n v="7"/>
    <s v="Sunday"/>
  </r>
  <r>
    <s v="ORD1019"/>
    <d v="2025-01-28T00:00:00"/>
    <d v="2025-02-06T00:00:00"/>
    <x v="0"/>
    <s v="Kolkata"/>
    <s v="Ananya Sen"/>
    <x v="0"/>
    <s v="Notebook Pack"/>
    <n v="8"/>
    <n v="349"/>
    <n v="0.15"/>
    <s v="Net Banking"/>
    <x v="0"/>
    <n v="2373.1999999999998"/>
    <s v="January"/>
    <s v="Low"/>
    <n v="180"/>
    <n v="2193.1999999999998"/>
    <n v="9"/>
    <s v="Tuesday"/>
  </r>
  <r>
    <s v="ORD1020"/>
    <d v="2025-01-28T00:00:00"/>
    <d v="2025-02-04T00:00:00"/>
    <x v="2"/>
    <s v="Delhi"/>
    <s v="Aarav Mehta"/>
    <x v="2"/>
    <s v="Bookshelf"/>
    <n v="2"/>
    <n v="5499"/>
    <n v="0.2"/>
    <s v="UPI"/>
    <x v="0"/>
    <n v="8798.4"/>
    <s v="January"/>
    <s v="Medium"/>
    <n v="3300"/>
    <n v="5498.4"/>
    <n v="7"/>
    <s v="Tuesday"/>
  </r>
  <r>
    <s v="ORD1021"/>
    <d v="2025-01-30T00:00:00"/>
    <d v="2025-02-07T00:00:00"/>
    <x v="2"/>
    <s v="Delhi"/>
    <s v="Aarav Mehta"/>
    <x v="0"/>
    <s v="Desk Organizer"/>
    <n v="7"/>
    <n v="599"/>
    <n v="0"/>
    <s v="Net Banking"/>
    <x v="0"/>
    <n v="4193"/>
    <s v="January"/>
    <s v="Low"/>
    <n v="320"/>
    <n v="3873"/>
    <n v="8"/>
    <s v="Thursday"/>
  </r>
  <r>
    <s v="ORD1022"/>
    <d v="2025-02-03T00:00:00"/>
    <d v="2025-02-12T00:00:00"/>
    <x v="3"/>
    <s v="Ahmedabad"/>
    <s v="Vikram Shah"/>
    <x v="0"/>
    <s v="Desk Organizer"/>
    <n v="4"/>
    <n v="599"/>
    <n v="0"/>
    <s v="UPI"/>
    <x v="2"/>
    <n v="2396"/>
    <s v="February"/>
    <s v="Low"/>
    <n v="320"/>
    <n v="2076"/>
    <n v="9"/>
    <s v="Monday"/>
  </r>
  <r>
    <s v="ORD1023"/>
    <d v="2025-02-06T00:00:00"/>
    <d v="2025-02-15T00:00:00"/>
    <x v="3"/>
    <s v="Mumbai"/>
    <s v="Vikram Shah"/>
    <x v="3"/>
    <s v="Headphones"/>
    <n v="5"/>
    <n v="1999"/>
    <n v="0.15"/>
    <s v="Credit Card"/>
    <x v="0"/>
    <n v="8495.75"/>
    <s v="February"/>
    <s v="Medium"/>
    <n v="1100"/>
    <n v="7395.75"/>
    <n v="9"/>
    <s v="Thursday"/>
  </r>
  <r>
    <s v="ORD1024"/>
    <d v="2025-02-07T00:00:00"/>
    <d v="2025-02-16T00:00:00"/>
    <x v="3"/>
    <s v="Pune"/>
    <s v="Neha Joshi"/>
    <x v="3"/>
    <s v="Wireless Mouse"/>
    <n v="3"/>
    <n v="799"/>
    <n v="0.05"/>
    <s v="Debit Card"/>
    <x v="0"/>
    <n v="2277.15"/>
    <s v="February"/>
    <s v="Low"/>
    <n v="450"/>
    <n v="1827.15"/>
    <n v="9"/>
    <s v="Friday"/>
  </r>
  <r>
    <s v="ORD1025"/>
    <d v="2025-02-07T00:00:00"/>
    <d v="2025-02-16T00:00:00"/>
    <x v="1"/>
    <s v="Hyderabad"/>
    <s v="Meera Nair"/>
    <x v="3"/>
    <s v="Power Bank"/>
    <n v="2"/>
    <n v="1499"/>
    <n v="0.05"/>
    <s v="UPI"/>
    <x v="0"/>
    <n v="2848.1"/>
    <s v="February"/>
    <s v="Low"/>
    <n v="850"/>
    <n v="1998.1"/>
    <n v="9"/>
    <s v="Friday"/>
  </r>
  <r>
    <s v="ORD1026"/>
    <d v="2025-02-07T00:00:00"/>
    <d v="2025-02-13T00:00:00"/>
    <x v="2"/>
    <s v="Lucknow"/>
    <s v="Aarav Mehta"/>
    <x v="1"/>
    <s v="Cotton T-Shirt"/>
    <n v="3"/>
    <n v="599"/>
    <n v="0.2"/>
    <s v="Net Banking"/>
    <x v="0"/>
    <n v="1437.6000000000001"/>
    <s v="February"/>
    <s v="Low"/>
    <n v="300"/>
    <n v="1137.6000000000001"/>
    <n v="6"/>
    <s v="Friday"/>
  </r>
  <r>
    <s v="ORD1027"/>
    <d v="2025-02-10T00:00:00"/>
    <d v="2025-02-17T00:00:00"/>
    <x v="0"/>
    <s v="Bhubaneswar"/>
    <s v="Rohit Das"/>
    <x v="0"/>
    <s v="Desk Organizer"/>
    <n v="15"/>
    <n v="599"/>
    <n v="0"/>
    <s v="UPI"/>
    <x v="0"/>
    <n v="8985"/>
    <s v="February"/>
    <s v="Medium"/>
    <n v="320"/>
    <n v="8665"/>
    <n v="7"/>
    <s v="Monday"/>
  </r>
  <r>
    <s v="ORD1028"/>
    <d v="2025-02-10T00:00:00"/>
    <d v="2025-02-16T00:00:00"/>
    <x v="3"/>
    <s v="Mumbai"/>
    <s v="Neha Joshi"/>
    <x v="2"/>
    <s v="Bookshelf"/>
    <n v="3"/>
    <n v="5499"/>
    <n v="0.05"/>
    <s v="UPI"/>
    <x v="0"/>
    <n v="15672.15"/>
    <s v="February"/>
    <s v="High Value"/>
    <n v="3300"/>
    <n v="12372.15"/>
    <n v="6"/>
    <s v="Monday"/>
  </r>
  <r>
    <s v="ORD1029"/>
    <d v="2025-02-10T00:00:00"/>
    <d v="2025-02-16T00:00:00"/>
    <x v="1"/>
    <s v="Bengaluru"/>
    <s v="Karthik Iyer"/>
    <x v="2"/>
    <s v="Bookshelf"/>
    <n v="3"/>
    <n v="5499"/>
    <n v="0.2"/>
    <s v="Credit Card"/>
    <x v="0"/>
    <n v="13197.6"/>
    <s v="February"/>
    <s v="Medium"/>
    <n v="3300"/>
    <n v="9897.6"/>
    <n v="6"/>
    <s v="Monday"/>
  </r>
  <r>
    <s v="ORD1030"/>
    <d v="2025-02-11T00:00:00"/>
    <d v="2025-02-14T00:00:00"/>
    <x v="3"/>
    <s v="Mumbai"/>
    <s v="Vikram Shah"/>
    <x v="2"/>
    <s v="Study Desk"/>
    <n v="3"/>
    <n v="8499"/>
    <n v="0.1"/>
    <s v="COD"/>
    <x v="0"/>
    <n v="22947.3"/>
    <s v="February"/>
    <s v="High Value"/>
    <n v="5200"/>
    <n v="17747.3"/>
    <n v="3"/>
    <s v="Tuesday"/>
  </r>
  <r>
    <s v="ORD1031"/>
    <d v="2025-02-13T00:00:00"/>
    <d v="2025-02-18T00:00:00"/>
    <x v="2"/>
    <s v="Lucknow"/>
    <s v="Simran Kaur"/>
    <x v="2"/>
    <s v="Bookshelf"/>
    <n v="3"/>
    <n v="5499"/>
    <n v="0.05"/>
    <s v="UPI"/>
    <x v="0"/>
    <n v="15672.15"/>
    <s v="February"/>
    <s v="High Value"/>
    <n v="3300"/>
    <n v="12372.15"/>
    <n v="5"/>
    <s v="Thursday"/>
  </r>
  <r>
    <s v="ORD1032"/>
    <d v="2025-02-16T00:00:00"/>
    <d v="2025-02-22T00:00:00"/>
    <x v="0"/>
    <s v="Bhubaneswar"/>
    <s v="Rohit Das"/>
    <x v="2"/>
    <s v="Bookshelf"/>
    <n v="3"/>
    <n v="5499"/>
    <n v="0"/>
    <s v="Debit Card"/>
    <x v="0"/>
    <n v="16497"/>
    <s v="February"/>
    <s v="High Value"/>
    <n v="3300"/>
    <n v="13197"/>
    <n v="6"/>
    <s v="Sunday"/>
  </r>
  <r>
    <s v="ORD1033"/>
    <d v="2025-02-21T00:00:00"/>
    <d v="2025-03-01T00:00:00"/>
    <x v="2"/>
    <s v="Lucknow"/>
    <s v="Simran Kaur"/>
    <x v="2"/>
    <s v="Study Desk"/>
    <n v="3"/>
    <n v="8499"/>
    <n v="0.1"/>
    <s v="COD"/>
    <x v="0"/>
    <n v="22947.3"/>
    <s v="February"/>
    <s v="High Value"/>
    <n v="5200"/>
    <n v="17747.3"/>
    <n v="8"/>
    <s v="Friday"/>
  </r>
  <r>
    <s v="ORD1034"/>
    <d v="2025-02-23T00:00:00"/>
    <d v="2025-03-01T00:00:00"/>
    <x v="0"/>
    <s v="Kolkata"/>
    <s v="Rohit Das"/>
    <x v="2"/>
    <s v="Study Desk"/>
    <n v="2"/>
    <n v="8499"/>
    <n v="0.05"/>
    <s v="Credit Card"/>
    <x v="0"/>
    <n v="16148.099999999999"/>
    <s v="February"/>
    <s v="High Value"/>
    <n v="5200"/>
    <n v="10948.099999999999"/>
    <n v="6"/>
    <s v="Sunday"/>
  </r>
  <r>
    <s v="ORD1035"/>
    <d v="2025-02-23T00:00:00"/>
    <d v="2025-02-26T00:00:00"/>
    <x v="1"/>
    <s v="Chennai"/>
    <s v="Meera Nair"/>
    <x v="0"/>
    <s v="Gel Pen Box"/>
    <n v="22"/>
    <n v="249"/>
    <n v="0.15"/>
    <s v="UPI"/>
    <x v="0"/>
    <n v="4656.3"/>
    <s v="February"/>
    <s v="Low"/>
    <n v="120"/>
    <n v="4536.3"/>
    <n v="3"/>
    <s v="Sunday"/>
  </r>
  <r>
    <s v="ORD1036"/>
    <d v="2025-02-25T00:00:00"/>
    <d v="2025-03-06T00:00:00"/>
    <x v="1"/>
    <s v="Bengaluru"/>
    <s v="Karthik Iyer"/>
    <x v="1"/>
    <s v="Cotton T-Shirt"/>
    <n v="4"/>
    <n v="599"/>
    <n v="0.05"/>
    <s v="UPI"/>
    <x v="0"/>
    <n v="2276.1999999999998"/>
    <s v="February"/>
    <s v="Low"/>
    <n v="300"/>
    <n v="1976.1999999999998"/>
    <n v="9"/>
    <s v="Tuesday"/>
  </r>
  <r>
    <s v="ORD1037"/>
    <d v="2025-03-01T00:00:00"/>
    <d v="2025-03-06T00:00:00"/>
    <x v="1"/>
    <s v="Bengaluru"/>
    <s v="Karthik Iyer"/>
    <x v="3"/>
    <s v="Power Bank"/>
    <n v="1"/>
    <n v="1499"/>
    <n v="0.2"/>
    <s v="UPI"/>
    <x v="0"/>
    <n v="1199.2"/>
    <s v="March"/>
    <s v="Low"/>
    <n v="850"/>
    <n v="349.20000000000005"/>
    <n v="5"/>
    <s v="Saturday"/>
  </r>
  <r>
    <s v="ORD1038"/>
    <d v="2025-03-02T00:00:00"/>
    <d v="2025-03-11T00:00:00"/>
    <x v="3"/>
    <s v="Ahmedabad"/>
    <s v="Neha Joshi"/>
    <x v="1"/>
    <s v="Denim Jacket"/>
    <n v="2"/>
    <n v="2999"/>
    <n v="0"/>
    <s v="Credit Card"/>
    <x v="0"/>
    <n v="5998"/>
    <s v="March"/>
    <s v="Medium"/>
    <n v="1700"/>
    <n v="4298"/>
    <n v="9"/>
    <s v="Sunday"/>
  </r>
  <r>
    <s v="ORD1039"/>
    <d v="2025-03-03T00:00:00"/>
    <d v="2025-03-09T00:00:00"/>
    <x v="1"/>
    <s v="Hyderabad"/>
    <s v="Karthik Iyer"/>
    <x v="0"/>
    <s v="Desk Organizer"/>
    <n v="8"/>
    <n v="599"/>
    <n v="0.2"/>
    <s v="UPI"/>
    <x v="2"/>
    <n v="3833.6000000000004"/>
    <s v="March"/>
    <s v="Low"/>
    <n v="320"/>
    <n v="3513.6000000000004"/>
    <n v="6"/>
    <s v="Monday"/>
  </r>
  <r>
    <s v="ORD1040"/>
    <d v="2025-03-04T00:00:00"/>
    <d v="2025-03-13T00:00:00"/>
    <x v="0"/>
    <s v="Kolkata"/>
    <s v="Rohit Das"/>
    <x v="0"/>
    <s v="Desk Organizer"/>
    <n v="14"/>
    <n v="599"/>
    <n v="0"/>
    <s v="COD"/>
    <x v="0"/>
    <n v="8386"/>
    <s v="March"/>
    <s v="Medium"/>
    <n v="320"/>
    <n v="8066"/>
    <n v="9"/>
    <s v="Tuesday"/>
  </r>
  <r>
    <s v="ORD1041"/>
    <d v="2025-03-04T00:00:00"/>
    <m/>
    <x v="1"/>
    <s v="Hyderabad"/>
    <s v="Karthik Iyer"/>
    <x v="3"/>
    <s v="Wireless Mouse"/>
    <n v="6"/>
    <n v="799"/>
    <n v="0.15"/>
    <s v="Debit Card"/>
    <x v="1"/>
    <n v="4074.9"/>
    <s v="March"/>
    <s v="Low"/>
    <n v="450"/>
    <n v="3624.9"/>
    <s v=""/>
    <s v="Tuesday"/>
  </r>
  <r>
    <s v="ORD1042"/>
    <d v="2025-03-09T00:00:00"/>
    <d v="2025-03-11T00:00:00"/>
    <x v="3"/>
    <s v="Mumbai"/>
    <s v="Neha Joshi"/>
    <x v="0"/>
    <s v="Gel Pen Box"/>
    <n v="6"/>
    <n v="249"/>
    <n v="0"/>
    <s v="Net Banking"/>
    <x v="0"/>
    <n v="1494"/>
    <s v="March"/>
    <s v="Low"/>
    <n v="120"/>
    <n v="1374"/>
    <n v="2"/>
    <s v="Sunday"/>
  </r>
  <r>
    <s v="ORD1043"/>
    <d v="2025-03-09T00:00:00"/>
    <d v="2025-03-18T00:00:00"/>
    <x v="0"/>
    <s v="Patna"/>
    <s v="Ananya Sen"/>
    <x v="0"/>
    <s v="Notebook Pack"/>
    <n v="7"/>
    <n v="349"/>
    <n v="0.1"/>
    <s v="UPI"/>
    <x v="0"/>
    <n v="2198.7000000000003"/>
    <s v="March"/>
    <s v="Low"/>
    <n v="180"/>
    <n v="2018.7000000000003"/>
    <n v="9"/>
    <s v="Sunday"/>
  </r>
  <r>
    <s v="ORD1044"/>
    <d v="2025-03-11T00:00:00"/>
    <d v="2025-03-17T00:00:00"/>
    <x v="2"/>
    <s v="Delhi"/>
    <s v="Aarav Mehta"/>
    <x v="2"/>
    <s v="Bookshelf"/>
    <n v="2"/>
    <n v="5499"/>
    <n v="0.2"/>
    <s v="UPI"/>
    <x v="0"/>
    <n v="8798.4"/>
    <s v="March"/>
    <s v="Medium"/>
    <n v="3300"/>
    <n v="5498.4"/>
    <n v="6"/>
    <s v="Tuesday"/>
  </r>
  <r>
    <s v="ORD1045"/>
    <d v="2025-03-11T00:00:00"/>
    <d v="2025-03-14T00:00:00"/>
    <x v="3"/>
    <s v="Ahmedabad"/>
    <s v="Vikram Shah"/>
    <x v="3"/>
    <s v="Bluetooth Speaker"/>
    <n v="4"/>
    <n v="2499"/>
    <n v="0"/>
    <s v="UPI"/>
    <x v="0"/>
    <n v="9996"/>
    <s v="March"/>
    <s v="Medium"/>
    <n v="1500"/>
    <n v="8496"/>
    <n v="3"/>
    <s v="Tuesday"/>
  </r>
  <r>
    <s v="ORD1046"/>
    <d v="2025-03-13T00:00:00"/>
    <d v="2025-03-16T00:00:00"/>
    <x v="0"/>
    <s v="Kolkata"/>
    <s v="Rohit Das"/>
    <x v="0"/>
    <s v="Desk Organizer"/>
    <n v="9"/>
    <n v="599"/>
    <n v="0.1"/>
    <s v="COD"/>
    <x v="0"/>
    <n v="4851.9000000000005"/>
    <s v="March"/>
    <s v="Low"/>
    <n v="320"/>
    <n v="4531.9000000000005"/>
    <n v="3"/>
    <s v="Thursday"/>
  </r>
  <r>
    <s v="ORD1047"/>
    <d v="2025-03-18T00:00:00"/>
    <d v="2025-03-27T00:00:00"/>
    <x v="3"/>
    <s v="Mumbai"/>
    <s v="Vikram Shah"/>
    <x v="3"/>
    <s v="Headphones"/>
    <n v="3"/>
    <n v="1999"/>
    <n v="0.2"/>
    <s v="UPI"/>
    <x v="2"/>
    <n v="4797.6000000000004"/>
    <s v="March"/>
    <s v="Low"/>
    <n v="1100"/>
    <n v="3697.6000000000004"/>
    <n v="9"/>
    <s v="Tuesday"/>
  </r>
  <r>
    <s v="ORD1048"/>
    <d v="2025-03-26T00:00:00"/>
    <d v="2025-04-01T00:00:00"/>
    <x v="0"/>
    <s v="Kolkata"/>
    <s v="Ananya Sen"/>
    <x v="2"/>
    <s v="Bookshelf"/>
    <n v="3"/>
    <n v="5499"/>
    <n v="0.2"/>
    <s v="UPI"/>
    <x v="0"/>
    <n v="13197.6"/>
    <s v="March"/>
    <s v="Medium"/>
    <n v="3300"/>
    <n v="9897.6"/>
    <n v="6"/>
    <s v="Wednesday"/>
  </r>
  <r>
    <s v="ORD1049"/>
    <d v="2025-03-29T00:00:00"/>
    <m/>
    <x v="3"/>
    <s v="Mumbai"/>
    <s v="Vikram Shah"/>
    <x v="3"/>
    <s v="Bluetooth Speaker"/>
    <n v="6"/>
    <n v="2499"/>
    <n v="0.1"/>
    <s v="Credit Card"/>
    <x v="1"/>
    <n v="13494.6"/>
    <s v="March"/>
    <s v="Medium"/>
    <n v="1500"/>
    <n v="11994.6"/>
    <s v=""/>
    <s v="Saturday"/>
  </r>
  <r>
    <s v="ORD1050"/>
    <d v="2025-03-30T00:00:00"/>
    <d v="2025-04-06T00:00:00"/>
    <x v="0"/>
    <s v="Kolkata"/>
    <s v="Rohit Das"/>
    <x v="1"/>
    <s v="Denim Jacket"/>
    <n v="4"/>
    <n v="2999"/>
    <n v="0.1"/>
    <s v="UPI"/>
    <x v="0"/>
    <n v="10796.4"/>
    <s v="March"/>
    <s v="Medium"/>
    <n v="1700"/>
    <n v="9096.4"/>
    <n v="7"/>
    <s v="Sunday"/>
  </r>
  <r>
    <s v="ORD1051"/>
    <d v="2025-03-31T00:00:00"/>
    <d v="2025-04-06T00:00:00"/>
    <x v="3"/>
    <s v="Pune"/>
    <s v="Vikram Shah"/>
    <x v="3"/>
    <s v="Power Bank"/>
    <n v="2"/>
    <n v="1499"/>
    <n v="0"/>
    <s v="Debit Card"/>
    <x v="0"/>
    <n v="2998"/>
    <s v="March"/>
    <s v="Low"/>
    <n v="850"/>
    <n v="2148"/>
    <n v="6"/>
    <s v="Monday"/>
  </r>
  <r>
    <s v="ORD1052"/>
    <d v="2025-04-02T00:00:00"/>
    <d v="2025-04-06T00:00:00"/>
    <x v="2"/>
    <s v="Lucknow"/>
    <s v="Aarav Mehta"/>
    <x v="0"/>
    <s v="Gel Pen Box"/>
    <n v="12"/>
    <n v="249"/>
    <n v="0.1"/>
    <s v="Debit Card"/>
    <x v="0"/>
    <n v="2689.2000000000003"/>
    <s v="April"/>
    <s v="Low"/>
    <n v="120"/>
    <n v="2569.2000000000003"/>
    <n v="4"/>
    <s v="Wednesday"/>
  </r>
  <r>
    <s v="ORD1053"/>
    <d v="2025-04-07T00:00:00"/>
    <m/>
    <x v="1"/>
    <s v="Hyderabad"/>
    <s v="Karthik Iyer"/>
    <x v="3"/>
    <s v="Bluetooth Speaker"/>
    <n v="6"/>
    <n v="2499"/>
    <n v="0.2"/>
    <s v="COD"/>
    <x v="1"/>
    <n v="11995.2"/>
    <s v="April"/>
    <s v="Medium"/>
    <n v="1500"/>
    <n v="10495.2"/>
    <s v=""/>
    <s v="Monday"/>
  </r>
  <r>
    <s v="ORD1054"/>
    <d v="2025-04-07T00:00:00"/>
    <d v="2025-04-09T00:00:00"/>
    <x v="3"/>
    <s v="Mumbai"/>
    <s v="Neha Joshi"/>
    <x v="0"/>
    <s v="Gel Pen Box"/>
    <n v="16"/>
    <n v="249"/>
    <n v="0"/>
    <s v="Net Banking"/>
    <x v="0"/>
    <n v="3984"/>
    <s v="April"/>
    <s v="Low"/>
    <n v="120"/>
    <n v="3864"/>
    <n v="2"/>
    <s v="Monday"/>
  </r>
  <r>
    <s v="ORD1055"/>
    <d v="2025-04-07T00:00:00"/>
    <d v="2025-04-11T00:00:00"/>
    <x v="1"/>
    <s v="Chennai"/>
    <s v="Karthik Iyer"/>
    <x v="0"/>
    <s v="Notebook Pack"/>
    <n v="6"/>
    <n v="349"/>
    <n v="0.15"/>
    <s v="Net Banking"/>
    <x v="0"/>
    <n v="1779.8999999999999"/>
    <s v="April"/>
    <s v="Low"/>
    <n v="180"/>
    <n v="1599.8999999999999"/>
    <n v="4"/>
    <s v="Monday"/>
  </r>
  <r>
    <s v="ORD1056"/>
    <d v="2025-04-09T00:00:00"/>
    <d v="2025-04-13T00:00:00"/>
    <x v="2"/>
    <s v="Lucknow"/>
    <s v="Simran Kaur"/>
    <x v="3"/>
    <s v="Power Bank"/>
    <n v="5"/>
    <n v="1499"/>
    <n v="0.05"/>
    <s v="COD"/>
    <x v="0"/>
    <n v="7120.25"/>
    <s v="April"/>
    <s v="Medium"/>
    <n v="850"/>
    <n v="6270.25"/>
    <n v="4"/>
    <s v="Wednesday"/>
  </r>
  <r>
    <s v="ORD1057"/>
    <d v="2025-04-10T00:00:00"/>
    <d v="2025-04-12T00:00:00"/>
    <x v="2"/>
    <s v="Lucknow"/>
    <s v="Aarav Mehta"/>
    <x v="0"/>
    <s v="Desk Organizer"/>
    <n v="11"/>
    <n v="599"/>
    <n v="0.05"/>
    <s v="Debit Card"/>
    <x v="0"/>
    <n v="6259.5499999999993"/>
    <s v="April"/>
    <s v="Medium"/>
    <n v="320"/>
    <n v="5939.5499999999993"/>
    <n v="2"/>
    <s v="Thursday"/>
  </r>
  <r>
    <s v="ORD1058"/>
    <d v="2025-04-10T00:00:00"/>
    <d v="2025-04-16T00:00:00"/>
    <x v="1"/>
    <s v="Chennai"/>
    <s v="Meera Nair"/>
    <x v="3"/>
    <s v="Power Bank"/>
    <n v="2"/>
    <n v="1499"/>
    <n v="0.2"/>
    <s v="Net Banking"/>
    <x v="0"/>
    <n v="2398.4"/>
    <s v="April"/>
    <s v="Low"/>
    <n v="850"/>
    <n v="1548.4"/>
    <n v="6"/>
    <s v="Thursday"/>
  </r>
  <r>
    <s v="ORD1059"/>
    <d v="2025-04-14T00:00:00"/>
    <m/>
    <x v="3"/>
    <s v="Pune"/>
    <s v="Vikram Shah"/>
    <x v="3"/>
    <s v="Bluetooth Speaker"/>
    <n v="4"/>
    <n v="2499"/>
    <n v="0"/>
    <s v="UPI"/>
    <x v="1"/>
    <n v="9996"/>
    <s v="April"/>
    <s v="Medium"/>
    <n v="1500"/>
    <n v="8496"/>
    <s v=""/>
    <s v="Monday"/>
  </r>
  <r>
    <s v="ORD1060"/>
    <d v="2025-04-15T00:00:00"/>
    <m/>
    <x v="0"/>
    <s v="Kolkata"/>
    <s v="Ananya Sen"/>
    <x v="2"/>
    <s v="Study Desk"/>
    <n v="2"/>
    <n v="8499"/>
    <n v="0.15"/>
    <s v="UPI"/>
    <x v="1"/>
    <n v="14448.3"/>
    <s v="April"/>
    <s v="Medium"/>
    <n v="5200"/>
    <n v="9248.2999999999993"/>
    <s v=""/>
    <s v="Tuesday"/>
  </r>
  <r>
    <s v="ORD1061"/>
    <d v="2025-04-18T00:00:00"/>
    <d v="2025-04-21T00:00:00"/>
    <x v="3"/>
    <s v="Mumbai"/>
    <s v="Vikram Shah"/>
    <x v="2"/>
    <s v="Bookshelf"/>
    <n v="2"/>
    <n v="5499"/>
    <n v="0.05"/>
    <s v="Net Banking"/>
    <x v="0"/>
    <n v="10448.1"/>
    <s v="April"/>
    <s v="Medium"/>
    <n v="3300"/>
    <n v="7148.1"/>
    <n v="3"/>
    <s v="Friday"/>
  </r>
  <r>
    <s v="ORD1062"/>
    <d v="2025-04-19T00:00:00"/>
    <d v="2025-04-21T00:00:00"/>
    <x v="2"/>
    <s v="Chandigarh"/>
    <s v="Simran Kaur"/>
    <x v="0"/>
    <s v="Gel Pen Box"/>
    <n v="23"/>
    <n v="249"/>
    <n v="0"/>
    <s v="UPI"/>
    <x v="2"/>
    <n v="5727"/>
    <s v="April"/>
    <s v="Medium"/>
    <n v="120"/>
    <n v="5607"/>
    <n v="2"/>
    <s v="Saturday"/>
  </r>
  <r>
    <s v="ORD1063"/>
    <d v="2025-04-20T00:00:00"/>
    <d v="2025-04-22T00:00:00"/>
    <x v="1"/>
    <s v="Hyderabad"/>
    <s v="Meera Nair"/>
    <x v="3"/>
    <s v="Power Bank"/>
    <n v="6"/>
    <n v="1499"/>
    <n v="0.1"/>
    <s v="Credit Card"/>
    <x v="0"/>
    <n v="8094.6"/>
    <s v="April"/>
    <s v="Medium"/>
    <n v="850"/>
    <n v="7244.6"/>
    <n v="2"/>
    <s v="Sunday"/>
  </r>
  <r>
    <s v="ORD1064"/>
    <d v="2025-04-21T00:00:00"/>
    <d v="2025-04-25T00:00:00"/>
    <x v="2"/>
    <s v="Chandigarh"/>
    <s v="Simran Kaur"/>
    <x v="3"/>
    <s v="Power Bank"/>
    <n v="3"/>
    <n v="1499"/>
    <n v="0.1"/>
    <s v="UPI"/>
    <x v="0"/>
    <n v="4047.3"/>
    <s v="April"/>
    <s v="Low"/>
    <n v="850"/>
    <n v="3197.3"/>
    <n v="4"/>
    <s v="Monday"/>
  </r>
  <r>
    <s v="ORD1065"/>
    <d v="2025-04-21T00:00:00"/>
    <d v="2025-04-30T00:00:00"/>
    <x v="2"/>
    <s v="Delhi"/>
    <s v="Simran Kaur"/>
    <x v="2"/>
    <s v="Study Desk"/>
    <n v="3"/>
    <n v="8499"/>
    <n v="0.05"/>
    <s v="Net Banking"/>
    <x v="0"/>
    <n v="24222.149999999998"/>
    <s v="April"/>
    <s v="High Value"/>
    <n v="5200"/>
    <n v="19022.149999999998"/>
    <n v="9"/>
    <s v="Monday"/>
  </r>
  <r>
    <s v="ORD1066"/>
    <d v="2025-04-25T00:00:00"/>
    <d v="2025-05-04T00:00:00"/>
    <x v="1"/>
    <s v="Chennai"/>
    <s v="Meera Nair"/>
    <x v="0"/>
    <s v="Gel Pen Box"/>
    <n v="9"/>
    <n v="249"/>
    <n v="0.15"/>
    <s v="UPI"/>
    <x v="2"/>
    <n v="1904.85"/>
    <s v="April"/>
    <s v="Low"/>
    <n v="120"/>
    <n v="1784.85"/>
    <n v="9"/>
    <s v="Friday"/>
  </r>
  <r>
    <s v="ORD1067"/>
    <d v="2025-04-25T00:00:00"/>
    <d v="2025-05-03T00:00:00"/>
    <x v="2"/>
    <s v="Delhi"/>
    <s v="Simran Kaur"/>
    <x v="3"/>
    <s v="Headphones"/>
    <n v="3"/>
    <n v="1999"/>
    <n v="0.1"/>
    <s v="COD"/>
    <x v="0"/>
    <n v="5397.3"/>
    <s v="April"/>
    <s v="Medium"/>
    <n v="1100"/>
    <n v="4297.3"/>
    <n v="8"/>
    <s v="Friday"/>
  </r>
  <r>
    <s v="ORD1068"/>
    <d v="2025-04-29T00:00:00"/>
    <d v="2025-05-03T00:00:00"/>
    <x v="2"/>
    <s v="Chandigarh"/>
    <s v="Aarav Mehta"/>
    <x v="1"/>
    <s v="Cotton T-Shirt"/>
    <n v="6"/>
    <n v="599"/>
    <n v="0.05"/>
    <s v="Debit Card"/>
    <x v="0"/>
    <n v="3414.2999999999997"/>
    <s v="April"/>
    <s v="Low"/>
    <n v="300"/>
    <n v="3114.2999999999997"/>
    <n v="4"/>
    <s v="Tuesday"/>
  </r>
  <r>
    <s v="ORD1069"/>
    <d v="2025-04-30T00:00:00"/>
    <d v="2025-05-04T00:00:00"/>
    <x v="2"/>
    <s v="Chandigarh"/>
    <s v="Aarav Mehta"/>
    <x v="3"/>
    <s v="Headphones"/>
    <n v="4"/>
    <n v="1999"/>
    <n v="0.15"/>
    <s v="Credit Card"/>
    <x v="0"/>
    <n v="6796.5999999999995"/>
    <s v="April"/>
    <s v="Medium"/>
    <n v="1100"/>
    <n v="5696.5999999999995"/>
    <n v="4"/>
    <s v="Wednesday"/>
  </r>
  <r>
    <s v="ORD1070"/>
    <d v="2025-05-02T00:00:00"/>
    <d v="2025-05-06T00:00:00"/>
    <x v="2"/>
    <s v="Lucknow"/>
    <s v="Simran Kaur"/>
    <x v="1"/>
    <s v="Denim Jacket"/>
    <n v="2"/>
    <n v="2999"/>
    <n v="0"/>
    <s v="Debit Card"/>
    <x v="0"/>
    <n v="5998"/>
    <s v="May"/>
    <s v="Medium"/>
    <n v="1700"/>
    <n v="4298"/>
    <n v="4"/>
    <s v="Friday"/>
  </r>
  <r>
    <s v="ORD1071"/>
    <d v="2025-05-02T00:00:00"/>
    <d v="2025-05-07T00:00:00"/>
    <x v="2"/>
    <s v="Delhi"/>
    <s v="Aarav Mehta"/>
    <x v="1"/>
    <s v="Denim Jacket"/>
    <n v="1"/>
    <n v="2999"/>
    <n v="0.2"/>
    <s v="Net Banking"/>
    <x v="0"/>
    <n v="2399.2000000000003"/>
    <s v="May"/>
    <s v="Low"/>
    <n v="1700"/>
    <n v="699.20000000000027"/>
    <n v="5"/>
    <s v="Friday"/>
  </r>
  <r>
    <s v="ORD1072"/>
    <d v="2025-05-03T00:00:00"/>
    <d v="2025-05-08T00:00:00"/>
    <x v="2"/>
    <s v="Chandigarh"/>
    <s v="Aarav Mehta"/>
    <x v="3"/>
    <s v="Power Bank"/>
    <n v="6"/>
    <n v="1499"/>
    <n v="0.05"/>
    <s v="UPI"/>
    <x v="0"/>
    <n v="8544.2999999999993"/>
    <s v="May"/>
    <s v="Medium"/>
    <n v="850"/>
    <n v="7694.2999999999993"/>
    <n v="5"/>
    <s v="Saturday"/>
  </r>
  <r>
    <s v="ORD1073"/>
    <d v="2025-05-04T00:00:00"/>
    <d v="2025-05-12T00:00:00"/>
    <x v="3"/>
    <s v="Mumbai"/>
    <s v="Vikram Shah"/>
    <x v="2"/>
    <s v="Study Desk"/>
    <n v="2"/>
    <n v="8499"/>
    <n v="0"/>
    <s v="COD"/>
    <x v="2"/>
    <n v="16998"/>
    <s v="May"/>
    <s v="High Value"/>
    <n v="5200"/>
    <n v="11798"/>
    <n v="8"/>
    <s v="Sunday"/>
  </r>
  <r>
    <s v="ORD1074"/>
    <d v="2025-05-05T00:00:00"/>
    <d v="2025-05-12T00:00:00"/>
    <x v="3"/>
    <s v="Ahmedabad"/>
    <s v="Vikram Shah"/>
    <x v="3"/>
    <s v="Headphones"/>
    <n v="6"/>
    <n v="1999"/>
    <n v="0"/>
    <s v="Debit Card"/>
    <x v="0"/>
    <n v="11994"/>
    <s v="May"/>
    <s v="Medium"/>
    <n v="1100"/>
    <n v="10894"/>
    <n v="7"/>
    <s v="Monday"/>
  </r>
  <r>
    <s v="ORD1075"/>
    <d v="2025-05-06T00:00:00"/>
    <d v="2025-05-11T00:00:00"/>
    <x v="0"/>
    <s v="Bhubaneswar"/>
    <s v="Ananya Sen"/>
    <x v="2"/>
    <s v="Bookshelf"/>
    <n v="1"/>
    <n v="5499"/>
    <n v="0.1"/>
    <s v="Credit Card"/>
    <x v="0"/>
    <n v="4949.1000000000004"/>
    <s v="May"/>
    <s v="Low"/>
    <n v="3300"/>
    <n v="1649.1000000000004"/>
    <n v="5"/>
    <s v="Tuesday"/>
  </r>
  <r>
    <s v="ORD1076"/>
    <d v="2025-05-07T00:00:00"/>
    <d v="2025-05-13T00:00:00"/>
    <x v="2"/>
    <s v="Delhi"/>
    <s v="Simran Kaur"/>
    <x v="0"/>
    <s v="Desk Organizer"/>
    <n v="12"/>
    <n v="599"/>
    <n v="0"/>
    <s v="UPI"/>
    <x v="0"/>
    <n v="7188"/>
    <s v="May"/>
    <s v="Medium"/>
    <n v="320"/>
    <n v="6868"/>
    <n v="6"/>
    <s v="Wednesday"/>
  </r>
  <r>
    <s v="ORD1077"/>
    <d v="2025-05-09T00:00:00"/>
    <d v="2025-05-11T00:00:00"/>
    <x v="2"/>
    <s v="Delhi"/>
    <s v="Aarav Mehta"/>
    <x v="0"/>
    <s v="Gel Pen Box"/>
    <n v="6"/>
    <n v="249"/>
    <n v="0.05"/>
    <s v="Credit Card"/>
    <x v="0"/>
    <n v="1419.3"/>
    <s v="May"/>
    <s v="Low"/>
    <n v="120"/>
    <n v="1299.3"/>
    <n v="2"/>
    <s v="Friday"/>
  </r>
  <r>
    <s v="ORD1078"/>
    <d v="2025-05-10T00:00:00"/>
    <d v="2025-05-17T00:00:00"/>
    <x v="1"/>
    <s v="Bengaluru"/>
    <s v="Meera Nair"/>
    <x v="0"/>
    <s v="Notebook Pack"/>
    <n v="12"/>
    <n v="349"/>
    <n v="0.2"/>
    <s v="Debit Card"/>
    <x v="0"/>
    <n v="3350.4"/>
    <s v="May"/>
    <s v="Low"/>
    <n v="180"/>
    <n v="3170.4"/>
    <n v="7"/>
    <s v="Saturday"/>
  </r>
  <r>
    <s v="ORD1079"/>
    <d v="2025-05-10T00:00:00"/>
    <d v="2025-05-16T00:00:00"/>
    <x v="1"/>
    <s v="Bengaluru"/>
    <s v="Karthik Iyer"/>
    <x v="2"/>
    <s v="Office Chair"/>
    <n v="3"/>
    <n v="6999"/>
    <n v="0.1"/>
    <s v="Credit Card"/>
    <x v="0"/>
    <n v="18897.3"/>
    <s v="May"/>
    <s v="High Value"/>
    <n v="4200"/>
    <n v="14697.3"/>
    <n v="6"/>
    <s v="Saturday"/>
  </r>
  <r>
    <s v="ORD1080"/>
    <d v="2025-05-10T00:00:00"/>
    <d v="2025-05-14T00:00:00"/>
    <x v="1"/>
    <s v="Chennai"/>
    <s v="Meera Nair"/>
    <x v="3"/>
    <s v="Bluetooth Speaker"/>
    <n v="3"/>
    <n v="2499"/>
    <n v="0.05"/>
    <s v="Debit Card"/>
    <x v="0"/>
    <n v="7122.15"/>
    <s v="May"/>
    <s v="Medium"/>
    <n v="1500"/>
    <n v="5622.15"/>
    <n v="4"/>
    <s v="Saturday"/>
  </r>
  <r>
    <s v="ORD1081"/>
    <d v="2025-05-12T00:00:00"/>
    <d v="2025-05-16T00:00:00"/>
    <x v="3"/>
    <s v="Mumbai"/>
    <s v="Neha Joshi"/>
    <x v="3"/>
    <s v="Headphones"/>
    <n v="5"/>
    <n v="1999"/>
    <n v="0.1"/>
    <s v="Credit Card"/>
    <x v="2"/>
    <n v="8995.5"/>
    <s v="May"/>
    <s v="Medium"/>
    <n v="1100"/>
    <n v="7895.5"/>
    <n v="4"/>
    <s v="Monday"/>
  </r>
  <r>
    <s v="ORD1082"/>
    <d v="2025-05-12T00:00:00"/>
    <d v="2025-05-21T00:00:00"/>
    <x v="0"/>
    <s v="Kolkata"/>
    <s v="Ananya Sen"/>
    <x v="0"/>
    <s v="Desk Organizer"/>
    <n v="14"/>
    <n v="599"/>
    <n v="0.1"/>
    <s v="Debit Card"/>
    <x v="0"/>
    <n v="7547.4000000000005"/>
    <s v="May"/>
    <s v="Medium"/>
    <n v="320"/>
    <n v="7227.4000000000005"/>
    <n v="9"/>
    <s v="Monday"/>
  </r>
  <r>
    <s v="ORD1083"/>
    <d v="2025-05-14T00:00:00"/>
    <m/>
    <x v="1"/>
    <s v="Chennai"/>
    <s v="Meera Nair"/>
    <x v="1"/>
    <s v="Cotton T-Shirt"/>
    <n v="7"/>
    <n v="599"/>
    <n v="0.05"/>
    <s v="Debit Card"/>
    <x v="1"/>
    <n v="3983.35"/>
    <s v="May"/>
    <s v="Low"/>
    <n v="300"/>
    <n v="3683.35"/>
    <s v=""/>
    <s v="Wednesday"/>
  </r>
  <r>
    <s v="ORD1084"/>
    <d v="2025-05-16T00:00:00"/>
    <d v="2025-05-25T00:00:00"/>
    <x v="3"/>
    <s v="Ahmedabad"/>
    <s v="Neha Joshi"/>
    <x v="2"/>
    <s v="Study Desk"/>
    <n v="3"/>
    <n v="8499"/>
    <n v="0.15"/>
    <s v="Net Banking"/>
    <x v="0"/>
    <n v="21672.45"/>
    <s v="May"/>
    <s v="High Value"/>
    <n v="5200"/>
    <n v="16472.45"/>
    <n v="9"/>
    <s v="Friday"/>
  </r>
  <r>
    <s v="ORD1085"/>
    <d v="2025-05-17T00:00:00"/>
    <d v="2025-05-25T00:00:00"/>
    <x v="3"/>
    <s v="Pune"/>
    <s v="Neha Joshi"/>
    <x v="1"/>
    <s v="Cotton T-Shirt"/>
    <n v="5"/>
    <n v="599"/>
    <n v="0.2"/>
    <s v="Credit Card"/>
    <x v="0"/>
    <n v="2396"/>
    <s v="May"/>
    <s v="Low"/>
    <n v="300"/>
    <n v="2096"/>
    <n v="8"/>
    <s v="Saturday"/>
  </r>
  <r>
    <s v="ORD1086"/>
    <d v="2025-05-20T00:00:00"/>
    <d v="2025-05-26T00:00:00"/>
    <x v="3"/>
    <s v="Ahmedabad"/>
    <s v="Vikram Shah"/>
    <x v="1"/>
    <s v="Denim Jacket"/>
    <n v="4"/>
    <n v="2999"/>
    <n v="0.05"/>
    <s v="UPI"/>
    <x v="0"/>
    <n v="11396.199999999999"/>
    <s v="May"/>
    <s v="Medium"/>
    <n v="1700"/>
    <n v="9696.1999999999989"/>
    <n v="6"/>
    <s v="Tuesday"/>
  </r>
  <r>
    <s v="ORD1087"/>
    <d v="2025-05-22T00:00:00"/>
    <d v="2025-05-25T00:00:00"/>
    <x v="2"/>
    <s v="Lucknow"/>
    <s v="Simran Kaur"/>
    <x v="0"/>
    <s v="Notebook Pack"/>
    <n v="6"/>
    <n v="349"/>
    <n v="0"/>
    <s v="Credit Card"/>
    <x v="0"/>
    <n v="2094"/>
    <s v="May"/>
    <s v="Low"/>
    <n v="180"/>
    <n v="1914"/>
    <n v="3"/>
    <s v="Thursday"/>
  </r>
  <r>
    <s v="ORD1088"/>
    <d v="2025-05-23T00:00:00"/>
    <d v="2025-06-01T00:00:00"/>
    <x v="0"/>
    <s v="Bhubaneswar"/>
    <s v="Rohit Das"/>
    <x v="0"/>
    <s v="Desk Organizer"/>
    <n v="13"/>
    <n v="599"/>
    <n v="0.05"/>
    <s v="Credit Card"/>
    <x v="0"/>
    <n v="7397.65"/>
    <s v="May"/>
    <s v="Medium"/>
    <n v="320"/>
    <n v="7077.65"/>
    <n v="9"/>
    <s v="Friday"/>
  </r>
  <r>
    <s v="ORD1089"/>
    <d v="2025-05-24T00:00:00"/>
    <d v="2025-06-01T00:00:00"/>
    <x v="3"/>
    <s v="Mumbai"/>
    <s v="Neha Joshi"/>
    <x v="0"/>
    <s v="Gel Pen Box"/>
    <n v="18"/>
    <n v="249"/>
    <n v="0.05"/>
    <s v="UPI"/>
    <x v="0"/>
    <n v="4257.8999999999996"/>
    <s v="May"/>
    <s v="Low"/>
    <n v="120"/>
    <n v="4137.8999999999996"/>
    <n v="8"/>
    <s v="Saturday"/>
  </r>
  <r>
    <s v="ORD1090"/>
    <d v="2025-05-25T00:00:00"/>
    <d v="2025-05-27T00:00:00"/>
    <x v="3"/>
    <s v="Pune"/>
    <s v="Neha Joshi"/>
    <x v="3"/>
    <s v="Bluetooth Speaker"/>
    <n v="4"/>
    <n v="2499"/>
    <n v="0"/>
    <s v="Debit Card"/>
    <x v="0"/>
    <n v="9996"/>
    <s v="May"/>
    <s v="Medium"/>
    <n v="1500"/>
    <n v="8496"/>
    <n v="2"/>
    <s v="Sunday"/>
  </r>
  <r>
    <s v="ORD1091"/>
    <d v="2025-05-25T00:00:00"/>
    <d v="2025-06-02T00:00:00"/>
    <x v="3"/>
    <s v="Pune"/>
    <s v="Neha Joshi"/>
    <x v="1"/>
    <s v="Denim Jacket"/>
    <n v="4"/>
    <n v="2999"/>
    <n v="0.1"/>
    <s v="Net Banking"/>
    <x v="0"/>
    <n v="10796.4"/>
    <s v="May"/>
    <s v="Medium"/>
    <n v="1700"/>
    <n v="9096.4"/>
    <n v="8"/>
    <s v="Sunday"/>
  </r>
  <r>
    <s v="ORD1092"/>
    <d v="2025-05-27T00:00:00"/>
    <d v="2025-06-02T00:00:00"/>
    <x v="2"/>
    <s v="Chandigarh"/>
    <s v="Simran Kaur"/>
    <x v="0"/>
    <s v="Desk Organizer"/>
    <n v="8"/>
    <n v="599"/>
    <n v="0"/>
    <s v="COD"/>
    <x v="0"/>
    <n v="4792"/>
    <s v="May"/>
    <s v="Low"/>
    <n v="320"/>
    <n v="4472"/>
    <n v="6"/>
    <s v="Tuesday"/>
  </r>
  <r>
    <s v="ORD1093"/>
    <d v="2025-05-30T00:00:00"/>
    <d v="2025-06-02T00:00:00"/>
    <x v="2"/>
    <s v="Chandigarh"/>
    <s v="Aarav Mehta"/>
    <x v="0"/>
    <s v="Gel Pen Box"/>
    <n v="16"/>
    <n v="249"/>
    <n v="0.15"/>
    <s v="UPI"/>
    <x v="0"/>
    <n v="3386.4"/>
    <s v="May"/>
    <s v="Low"/>
    <n v="120"/>
    <n v="3266.4"/>
    <n v="3"/>
    <s v="Friday"/>
  </r>
  <r>
    <s v="ORD1094"/>
    <d v="2025-05-31T00:00:00"/>
    <d v="2025-06-09T00:00:00"/>
    <x v="2"/>
    <s v="Lucknow"/>
    <s v="Aarav Mehta"/>
    <x v="1"/>
    <s v="Denim Jacket"/>
    <n v="3"/>
    <n v="2999"/>
    <n v="0.05"/>
    <s v="UPI"/>
    <x v="0"/>
    <n v="8547.15"/>
    <s v="May"/>
    <s v="Medium"/>
    <n v="1700"/>
    <n v="6847.15"/>
    <n v="9"/>
    <s v="Saturday"/>
  </r>
  <r>
    <s v="ORD1095"/>
    <d v="2025-06-02T00:00:00"/>
    <d v="2025-06-05T00:00:00"/>
    <x v="1"/>
    <s v="Hyderabad"/>
    <s v="Meera Nair"/>
    <x v="3"/>
    <s v="Wireless Mouse"/>
    <n v="2"/>
    <n v="799"/>
    <n v="0"/>
    <s v="COD"/>
    <x v="0"/>
    <n v="1598"/>
    <s v="June"/>
    <s v="Low"/>
    <n v="450"/>
    <n v="1148"/>
    <n v="3"/>
    <s v="Monday"/>
  </r>
  <r>
    <s v="ORD1096"/>
    <d v="2025-06-02T00:00:00"/>
    <d v="2025-06-09T00:00:00"/>
    <x v="1"/>
    <s v="Chennai"/>
    <s v="Meera Nair"/>
    <x v="2"/>
    <s v="Office Chair"/>
    <n v="2"/>
    <n v="6999"/>
    <n v="0.2"/>
    <s v="Credit Card"/>
    <x v="0"/>
    <n v="11198.400000000001"/>
    <s v="June"/>
    <s v="Medium"/>
    <n v="4200"/>
    <n v="6998.4000000000015"/>
    <n v="7"/>
    <s v="Monday"/>
  </r>
  <r>
    <s v="ORD1097"/>
    <d v="2025-06-04T00:00:00"/>
    <d v="2025-06-09T00:00:00"/>
    <x v="1"/>
    <s v="Chennai"/>
    <s v="Karthik Iyer"/>
    <x v="1"/>
    <s v="Denim Jacket"/>
    <n v="4"/>
    <n v="2999"/>
    <n v="0"/>
    <s v="Credit Card"/>
    <x v="0"/>
    <n v="11996"/>
    <s v="June"/>
    <s v="Medium"/>
    <n v="1700"/>
    <n v="10296"/>
    <n v="5"/>
    <s v="Wednesday"/>
  </r>
  <r>
    <s v="ORD1098"/>
    <d v="2025-06-05T00:00:00"/>
    <d v="2025-06-14T00:00:00"/>
    <x v="1"/>
    <s v="Chennai"/>
    <s v="Karthik Iyer"/>
    <x v="3"/>
    <s v="Headphones"/>
    <n v="5"/>
    <n v="1999"/>
    <n v="0.1"/>
    <s v="COD"/>
    <x v="2"/>
    <n v="8995.5"/>
    <s v="June"/>
    <s v="Medium"/>
    <n v="1100"/>
    <n v="7895.5"/>
    <n v="9"/>
    <s v="Thursday"/>
  </r>
  <r>
    <s v="ORD1099"/>
    <d v="2025-06-05T00:00:00"/>
    <d v="2025-06-10T00:00:00"/>
    <x v="0"/>
    <s v="Kolkata"/>
    <s v="Ananya Sen"/>
    <x v="1"/>
    <s v="Cotton T-Shirt"/>
    <n v="2"/>
    <n v="599"/>
    <n v="0.2"/>
    <s v="COD"/>
    <x v="0"/>
    <n v="958.40000000000009"/>
    <s v="June"/>
    <s v="Low"/>
    <n v="300"/>
    <n v="658.40000000000009"/>
    <n v="5"/>
    <s v="Thursday"/>
  </r>
  <r>
    <s v="ORD1100"/>
    <d v="2025-06-06T00:00:00"/>
    <d v="2025-06-11T00:00:00"/>
    <x v="3"/>
    <s v="Mumbai"/>
    <s v="Vikram Shah"/>
    <x v="2"/>
    <s v="Study Desk"/>
    <n v="2"/>
    <n v="8499"/>
    <n v="0"/>
    <s v="Credit Card"/>
    <x v="0"/>
    <n v="16998"/>
    <s v="June"/>
    <s v="High Value"/>
    <n v="5200"/>
    <n v="11798"/>
    <n v="5"/>
    <s v="Friday"/>
  </r>
  <r>
    <s v="ORD1101"/>
    <d v="2025-06-08T00:00:00"/>
    <d v="2025-06-13T00:00:00"/>
    <x v="0"/>
    <s v="Bhubaneswar"/>
    <s v="Ananya Sen"/>
    <x v="3"/>
    <s v="Power Bank"/>
    <n v="3"/>
    <n v="1499"/>
    <n v="0.05"/>
    <s v="UPI"/>
    <x v="0"/>
    <n v="4272.1499999999996"/>
    <s v="June"/>
    <s v="Low"/>
    <n v="850"/>
    <n v="3422.1499999999996"/>
    <n v="5"/>
    <s v="Sunday"/>
  </r>
  <r>
    <s v="ORD1102"/>
    <d v="2025-06-09T00:00:00"/>
    <d v="2025-06-15T00:00:00"/>
    <x v="1"/>
    <s v="Hyderabad"/>
    <s v="Meera Nair"/>
    <x v="2"/>
    <s v="Office Chair"/>
    <n v="2"/>
    <n v="6999"/>
    <n v="0.2"/>
    <s v="Credit Card"/>
    <x v="0"/>
    <n v="11198.400000000001"/>
    <s v="June"/>
    <s v="Medium"/>
    <n v="4200"/>
    <n v="6998.4000000000015"/>
    <n v="6"/>
    <s v="Monday"/>
  </r>
  <r>
    <s v="ORD1103"/>
    <d v="2025-06-12T00:00:00"/>
    <d v="2025-06-16T00:00:00"/>
    <x v="0"/>
    <s v="Bhubaneswar"/>
    <s v="Rohit Das"/>
    <x v="1"/>
    <s v="Cotton T-Shirt"/>
    <n v="5"/>
    <n v="599"/>
    <n v="0.1"/>
    <s v="Debit Card"/>
    <x v="0"/>
    <n v="2695.5"/>
    <s v="June"/>
    <s v="Low"/>
    <n v="300"/>
    <n v="2395.5"/>
    <n v="4"/>
    <s v="Thursday"/>
  </r>
  <r>
    <s v="ORD1104"/>
    <d v="2025-06-14T00:00:00"/>
    <m/>
    <x v="3"/>
    <s v="Ahmedabad"/>
    <s v="Neha Joshi"/>
    <x v="1"/>
    <s v="Denim Jacket"/>
    <n v="2"/>
    <n v="2999"/>
    <n v="0.05"/>
    <s v="Debit Card"/>
    <x v="1"/>
    <n v="5698.0999999999995"/>
    <s v="June"/>
    <s v="Medium"/>
    <n v="1700"/>
    <n v="3998.0999999999995"/>
    <s v=""/>
    <s v="Saturday"/>
  </r>
  <r>
    <s v="ORD1105"/>
    <d v="2025-06-15T00:00:00"/>
    <d v="2025-06-20T00:00:00"/>
    <x v="2"/>
    <s v="Chandigarh"/>
    <s v="Aarav Mehta"/>
    <x v="3"/>
    <s v="Wireless Mouse"/>
    <n v="4"/>
    <n v="799"/>
    <n v="0.1"/>
    <s v="COD"/>
    <x v="0"/>
    <n v="2876.4"/>
    <s v="June"/>
    <s v="Low"/>
    <n v="450"/>
    <n v="2426.4"/>
    <n v="5"/>
    <s v="Sunday"/>
  </r>
  <r>
    <s v="ORD1106"/>
    <d v="2025-06-15T00:00:00"/>
    <d v="2025-06-24T00:00:00"/>
    <x v="1"/>
    <s v="Bengaluru"/>
    <s v="Karthik Iyer"/>
    <x v="3"/>
    <s v="Wireless Mouse"/>
    <n v="2"/>
    <n v="799"/>
    <n v="0.2"/>
    <s v="Credit Card"/>
    <x v="0"/>
    <n v="1278.4000000000001"/>
    <s v="June"/>
    <s v="Low"/>
    <n v="450"/>
    <n v="828.40000000000009"/>
    <n v="9"/>
    <s v="Sunday"/>
  </r>
  <r>
    <s v="ORD1107"/>
    <d v="2025-06-16T00:00:00"/>
    <d v="2025-06-24T00:00:00"/>
    <x v="1"/>
    <s v="Chennai"/>
    <s v="Meera Nair"/>
    <x v="0"/>
    <s v="Desk Organizer"/>
    <n v="14"/>
    <n v="599"/>
    <n v="0"/>
    <s v="COD"/>
    <x v="0"/>
    <n v="8386"/>
    <s v="June"/>
    <s v="Medium"/>
    <n v="320"/>
    <n v="8066"/>
    <n v="8"/>
    <s v="Monday"/>
  </r>
  <r>
    <s v="ORD1108"/>
    <d v="2025-06-16T00:00:00"/>
    <d v="2025-06-20T00:00:00"/>
    <x v="3"/>
    <s v="Pune"/>
    <s v="Neha Joshi"/>
    <x v="0"/>
    <s v="Notebook Pack"/>
    <n v="22"/>
    <n v="349"/>
    <n v="0.05"/>
    <s v="Credit Card"/>
    <x v="2"/>
    <n v="7294.0999999999995"/>
    <s v="June"/>
    <s v="Medium"/>
    <n v="180"/>
    <n v="7114.0999999999995"/>
    <n v="4"/>
    <s v="Monday"/>
  </r>
  <r>
    <s v="ORD1109"/>
    <d v="2025-06-16T00:00:00"/>
    <d v="2025-06-24T00:00:00"/>
    <x v="0"/>
    <s v="Kolkata"/>
    <s v="Rohit Das"/>
    <x v="1"/>
    <s v="Cotton T-Shirt"/>
    <n v="7"/>
    <n v="599"/>
    <n v="0.2"/>
    <s v="UPI"/>
    <x v="0"/>
    <n v="3354.4"/>
    <s v="June"/>
    <s v="Low"/>
    <n v="300"/>
    <n v="3054.4"/>
    <n v="8"/>
    <s v="Monday"/>
  </r>
  <r>
    <s v="ORD1110"/>
    <d v="2025-06-19T00:00:00"/>
    <d v="2025-06-21T00:00:00"/>
    <x v="2"/>
    <s v="Lucknow"/>
    <s v="Aarav Mehta"/>
    <x v="1"/>
    <s v="Denim Jacket"/>
    <n v="1"/>
    <n v="2999"/>
    <n v="0.1"/>
    <s v="UPI"/>
    <x v="0"/>
    <n v="2699.1"/>
    <s v="June"/>
    <s v="Low"/>
    <n v="1700"/>
    <n v="999.09999999999991"/>
    <n v="2"/>
    <s v="Thursday"/>
  </r>
  <r>
    <s v="ORD1111"/>
    <d v="2025-06-20T00:00:00"/>
    <d v="2025-06-24T00:00:00"/>
    <x v="2"/>
    <s v="Chandigarh"/>
    <s v="Aarav Mehta"/>
    <x v="3"/>
    <s v="Bluetooth Speaker"/>
    <n v="4"/>
    <n v="2499"/>
    <n v="0"/>
    <s v="UPI"/>
    <x v="0"/>
    <n v="9996"/>
    <s v="June"/>
    <s v="Medium"/>
    <n v="1500"/>
    <n v="8496"/>
    <n v="4"/>
    <s v="Friday"/>
  </r>
  <r>
    <s v="ORD1112"/>
    <d v="2025-06-22T00:00:00"/>
    <d v="2025-06-29T00:00:00"/>
    <x v="2"/>
    <s v="Lucknow"/>
    <s v="Simran Kaur"/>
    <x v="3"/>
    <s v="Wireless Mouse"/>
    <n v="3"/>
    <n v="799"/>
    <n v="0.05"/>
    <s v="Debit Card"/>
    <x v="0"/>
    <n v="2277.15"/>
    <s v="June"/>
    <s v="Low"/>
    <n v="450"/>
    <n v="1827.15"/>
    <n v="7"/>
    <s v="Sunday"/>
  </r>
  <r>
    <s v="ORD1113"/>
    <d v="2025-06-23T00:00:00"/>
    <d v="2025-06-27T00:00:00"/>
    <x v="3"/>
    <s v="Mumbai"/>
    <s v="Vikram Shah"/>
    <x v="3"/>
    <s v="Power Bank"/>
    <n v="6"/>
    <n v="1499"/>
    <n v="0"/>
    <s v="UPI"/>
    <x v="0"/>
    <n v="8994"/>
    <s v="June"/>
    <s v="Medium"/>
    <n v="850"/>
    <n v="8144"/>
    <n v="4"/>
    <s v="Monday"/>
  </r>
  <r>
    <s v="ORD1114"/>
    <d v="2025-06-25T00:00:00"/>
    <d v="2025-07-03T00:00:00"/>
    <x v="3"/>
    <s v="Mumbai"/>
    <s v="Neha Joshi"/>
    <x v="1"/>
    <s v="Cotton T-Shirt"/>
    <n v="4"/>
    <n v="599"/>
    <n v="0.05"/>
    <s v="UPI"/>
    <x v="0"/>
    <n v="2276.1999999999998"/>
    <s v="June"/>
    <s v="Low"/>
    <n v="300"/>
    <n v="1976.1999999999998"/>
    <n v="8"/>
    <s v="Wednesday"/>
  </r>
  <r>
    <s v="ORD1115"/>
    <d v="2025-07-02T00:00:00"/>
    <d v="2025-07-10T00:00:00"/>
    <x v="0"/>
    <s v="Patna"/>
    <s v="Ananya Sen"/>
    <x v="3"/>
    <s v="Bluetooth Speaker"/>
    <n v="4"/>
    <n v="2499"/>
    <n v="0"/>
    <s v="Debit Card"/>
    <x v="0"/>
    <n v="9996"/>
    <s v="July"/>
    <s v="Medium"/>
    <n v="1500"/>
    <n v="8496"/>
    <n v="8"/>
    <s v="Wednesday"/>
  </r>
  <r>
    <s v="ORD1116"/>
    <d v="2025-07-02T00:00:00"/>
    <d v="2025-07-09T00:00:00"/>
    <x v="3"/>
    <s v="Mumbai"/>
    <s v="Neha Joshi"/>
    <x v="1"/>
    <s v="Cotton T-Shirt"/>
    <n v="4"/>
    <n v="599"/>
    <n v="0.15"/>
    <s v="Credit Card"/>
    <x v="0"/>
    <n v="2036.6"/>
    <s v="July"/>
    <s v="Low"/>
    <n v="300"/>
    <n v="1736.6"/>
    <n v="7"/>
    <s v="Wednesday"/>
  </r>
  <r>
    <s v="ORD1117"/>
    <d v="2025-07-03T00:00:00"/>
    <d v="2025-07-07T00:00:00"/>
    <x v="3"/>
    <s v="Ahmedabad"/>
    <s v="Vikram Shah"/>
    <x v="0"/>
    <s v="Notebook Pack"/>
    <n v="24"/>
    <n v="349"/>
    <n v="0.15"/>
    <s v="COD"/>
    <x v="0"/>
    <n v="7119.5999999999995"/>
    <s v="July"/>
    <s v="Medium"/>
    <n v="180"/>
    <n v="6939.5999999999995"/>
    <n v="4"/>
    <s v="Thursday"/>
  </r>
  <r>
    <s v="ORD1118"/>
    <d v="2025-07-03T00:00:00"/>
    <d v="2025-07-09T00:00:00"/>
    <x v="0"/>
    <s v="Kolkata"/>
    <s v="Ananya Sen"/>
    <x v="0"/>
    <s v="Notebook Pack"/>
    <n v="8"/>
    <n v="349"/>
    <n v="0.05"/>
    <s v="Credit Card"/>
    <x v="0"/>
    <n v="2652.4"/>
    <s v="July"/>
    <s v="Low"/>
    <n v="180"/>
    <n v="2472.4"/>
    <n v="6"/>
    <s v="Thursday"/>
  </r>
  <r>
    <s v="ORD1119"/>
    <d v="2025-07-06T00:00:00"/>
    <d v="2025-07-13T00:00:00"/>
    <x v="3"/>
    <s v="Ahmedabad"/>
    <s v="Neha Joshi"/>
    <x v="0"/>
    <s v="Gel Pen Box"/>
    <n v="20"/>
    <n v="249"/>
    <n v="0.05"/>
    <s v="Debit Card"/>
    <x v="0"/>
    <n v="4731"/>
    <s v="July"/>
    <s v="Low"/>
    <n v="120"/>
    <n v="4611"/>
    <n v="7"/>
    <s v="Sunday"/>
  </r>
  <r>
    <s v="ORD1120"/>
    <d v="2025-07-06T00:00:00"/>
    <d v="2025-07-12T00:00:00"/>
    <x v="0"/>
    <s v="Patna"/>
    <s v="Rohit Das"/>
    <x v="0"/>
    <s v="Desk Organizer"/>
    <n v="12"/>
    <n v="599"/>
    <n v="0"/>
    <s v="COD"/>
    <x v="0"/>
    <n v="7188"/>
    <s v="July"/>
    <s v="Medium"/>
    <n v="320"/>
    <n v="6868"/>
    <n v="6"/>
    <s v="Sunday"/>
  </r>
  <r>
    <s v="ORD1121"/>
    <d v="2025-07-07T00:00:00"/>
    <d v="2025-07-15T00:00:00"/>
    <x v="1"/>
    <s v="Hyderabad"/>
    <s v="Karthik Iyer"/>
    <x v="3"/>
    <s v="Bluetooth Speaker"/>
    <n v="3"/>
    <n v="2499"/>
    <n v="0.15"/>
    <s v="Net Banking"/>
    <x v="0"/>
    <n v="6372.45"/>
    <s v="July"/>
    <s v="Medium"/>
    <n v="1500"/>
    <n v="4872.45"/>
    <n v="8"/>
    <s v="Monday"/>
  </r>
  <r>
    <s v="ORD1122"/>
    <d v="2025-07-07T00:00:00"/>
    <d v="2025-07-15T00:00:00"/>
    <x v="0"/>
    <s v="Patna"/>
    <s v="Rohit Das"/>
    <x v="3"/>
    <s v="Headphones"/>
    <n v="1"/>
    <n v="1999"/>
    <n v="0"/>
    <s v="UPI"/>
    <x v="0"/>
    <n v="1999"/>
    <s v="July"/>
    <s v="Low"/>
    <n v="1100"/>
    <n v="899"/>
    <n v="8"/>
    <s v="Monday"/>
  </r>
  <r>
    <s v="ORD1123"/>
    <d v="2025-07-08T00:00:00"/>
    <d v="2025-07-17T00:00:00"/>
    <x v="3"/>
    <s v="Pune"/>
    <s v="Neha Joshi"/>
    <x v="3"/>
    <s v="Wireless Mouse"/>
    <n v="3"/>
    <n v="799"/>
    <n v="0.2"/>
    <s v="UPI"/>
    <x v="0"/>
    <n v="1917.6000000000001"/>
    <s v="July"/>
    <s v="Low"/>
    <n v="450"/>
    <n v="1467.6000000000001"/>
    <n v="9"/>
    <s v="Tuesday"/>
  </r>
  <r>
    <s v="ORD1124"/>
    <d v="2025-07-10T00:00:00"/>
    <d v="2025-07-13T00:00:00"/>
    <x v="0"/>
    <s v="Patna"/>
    <s v="Ananya Sen"/>
    <x v="2"/>
    <s v="Study Desk"/>
    <n v="3"/>
    <n v="8499"/>
    <n v="0.2"/>
    <s v="UPI"/>
    <x v="0"/>
    <n v="20397.600000000002"/>
    <s v="July"/>
    <s v="High Value"/>
    <n v="5200"/>
    <n v="15197.600000000002"/>
    <n v="3"/>
    <s v="Thursday"/>
  </r>
  <r>
    <s v="ORD1125"/>
    <d v="2025-07-11T00:00:00"/>
    <d v="2025-07-20T00:00:00"/>
    <x v="0"/>
    <s v="Patna"/>
    <s v="Ananya Sen"/>
    <x v="2"/>
    <s v="Bookshelf"/>
    <n v="3"/>
    <n v="5499"/>
    <n v="0.05"/>
    <s v="Credit Card"/>
    <x v="0"/>
    <n v="15672.15"/>
    <s v="July"/>
    <s v="High Value"/>
    <n v="3300"/>
    <n v="12372.15"/>
    <n v="9"/>
    <s v="Friday"/>
  </r>
  <r>
    <s v="ORD1126"/>
    <d v="2025-07-12T00:00:00"/>
    <d v="2025-07-18T00:00:00"/>
    <x v="3"/>
    <s v="Pune"/>
    <s v="Neha Joshi"/>
    <x v="0"/>
    <s v="Notebook Pack"/>
    <n v="22"/>
    <n v="349"/>
    <n v="0.1"/>
    <s v="Credit Card"/>
    <x v="0"/>
    <n v="6910.2"/>
    <s v="July"/>
    <s v="Medium"/>
    <n v="180"/>
    <n v="6730.2"/>
    <n v="6"/>
    <s v="Saturday"/>
  </r>
  <r>
    <s v="ORD1127"/>
    <d v="2025-07-12T00:00:00"/>
    <d v="2025-07-17T00:00:00"/>
    <x v="3"/>
    <s v="Ahmedabad"/>
    <s v="Vikram Shah"/>
    <x v="2"/>
    <s v="Bookshelf"/>
    <n v="3"/>
    <n v="5499"/>
    <n v="0.2"/>
    <s v="COD"/>
    <x v="0"/>
    <n v="13197.6"/>
    <s v="July"/>
    <s v="Medium"/>
    <n v="3300"/>
    <n v="9897.6"/>
    <n v="5"/>
    <s v="Saturday"/>
  </r>
  <r>
    <s v="ORD1128"/>
    <d v="2025-07-15T00:00:00"/>
    <d v="2025-07-24T00:00:00"/>
    <x v="3"/>
    <s v="Pune"/>
    <s v="Vikram Shah"/>
    <x v="3"/>
    <s v="Power Bank"/>
    <n v="5"/>
    <n v="1499"/>
    <n v="0"/>
    <s v="UPI"/>
    <x v="0"/>
    <n v="7495"/>
    <s v="July"/>
    <s v="Medium"/>
    <n v="850"/>
    <n v="6645"/>
    <n v="9"/>
    <s v="Tuesday"/>
  </r>
  <r>
    <s v="ORD1129"/>
    <d v="2025-07-19T00:00:00"/>
    <d v="2025-07-28T00:00:00"/>
    <x v="2"/>
    <s v="Lucknow"/>
    <s v="Simran Kaur"/>
    <x v="3"/>
    <s v="Power Bank"/>
    <n v="2"/>
    <n v="1499"/>
    <n v="0.1"/>
    <s v="UPI"/>
    <x v="0"/>
    <n v="2698.2000000000003"/>
    <s v="July"/>
    <s v="Low"/>
    <n v="850"/>
    <n v="1848.2000000000003"/>
    <n v="9"/>
    <s v="Saturday"/>
  </r>
  <r>
    <s v="ORD1130"/>
    <d v="2025-07-20T00:00:00"/>
    <d v="2025-07-24T00:00:00"/>
    <x v="2"/>
    <s v="Delhi"/>
    <s v="Aarav Mehta"/>
    <x v="1"/>
    <s v="Denim Jacket"/>
    <n v="3"/>
    <n v="2999"/>
    <n v="0.2"/>
    <s v="Credit Card"/>
    <x v="0"/>
    <n v="7197.6"/>
    <s v="July"/>
    <s v="Medium"/>
    <n v="1700"/>
    <n v="5497.6"/>
    <n v="4"/>
    <s v="Sunday"/>
  </r>
  <r>
    <s v="ORD1131"/>
    <d v="2025-07-21T00:00:00"/>
    <d v="2025-07-24T00:00:00"/>
    <x v="1"/>
    <s v="Bengaluru"/>
    <s v="Karthik Iyer"/>
    <x v="3"/>
    <s v="Headphones"/>
    <n v="1"/>
    <n v="1999"/>
    <n v="0"/>
    <s v="Debit Card"/>
    <x v="0"/>
    <n v="1999"/>
    <s v="July"/>
    <s v="Low"/>
    <n v="1100"/>
    <n v="899"/>
    <n v="3"/>
    <s v="Monday"/>
  </r>
  <r>
    <s v="ORD1132"/>
    <d v="2025-07-22T00:00:00"/>
    <d v="2025-07-27T00:00:00"/>
    <x v="0"/>
    <s v="Kolkata"/>
    <s v="Ananya Sen"/>
    <x v="0"/>
    <s v="Desk Organizer"/>
    <n v="12"/>
    <n v="599"/>
    <n v="0.1"/>
    <s v="UPI"/>
    <x v="2"/>
    <n v="6469.2"/>
    <s v="July"/>
    <s v="Medium"/>
    <n v="320"/>
    <n v="6149.2"/>
    <n v="5"/>
    <s v="Tuesday"/>
  </r>
  <r>
    <s v="ORD1133"/>
    <d v="2025-07-26T00:00:00"/>
    <m/>
    <x v="2"/>
    <s v="Lucknow"/>
    <s v="Aarav Mehta"/>
    <x v="0"/>
    <s v="Desk Organizer"/>
    <n v="3"/>
    <n v="599"/>
    <n v="0.1"/>
    <s v="Credit Card"/>
    <x v="1"/>
    <n v="1617.3"/>
    <s v="July"/>
    <s v="Low"/>
    <n v="320"/>
    <n v="1297.3"/>
    <s v=""/>
    <s v="Saturday"/>
  </r>
  <r>
    <s v="ORD1134"/>
    <d v="2025-07-30T00:00:00"/>
    <d v="2025-08-01T00:00:00"/>
    <x v="1"/>
    <s v="Chennai"/>
    <s v="Meera Nair"/>
    <x v="2"/>
    <s v="Office Chair"/>
    <n v="2"/>
    <n v="6999"/>
    <n v="0.15"/>
    <s v="COD"/>
    <x v="0"/>
    <n v="11898.3"/>
    <s v="July"/>
    <s v="Medium"/>
    <n v="4200"/>
    <n v="7698.2999999999993"/>
    <n v="2"/>
    <s v="Wednesday"/>
  </r>
  <r>
    <s v="ORD1135"/>
    <d v="2025-07-31T00:00:00"/>
    <d v="2025-08-05T00:00:00"/>
    <x v="0"/>
    <s v="Kolkata"/>
    <s v="Rohit Das"/>
    <x v="2"/>
    <s v="Bookshelf"/>
    <n v="3"/>
    <n v="5499"/>
    <n v="0"/>
    <s v="UPI"/>
    <x v="0"/>
    <n v="16497"/>
    <s v="July"/>
    <s v="High Value"/>
    <n v="3300"/>
    <n v="13197"/>
    <n v="5"/>
    <s v="Thursday"/>
  </r>
  <r>
    <s v="ORD1136"/>
    <d v="2025-08-01T00:00:00"/>
    <d v="2025-08-10T00:00:00"/>
    <x v="2"/>
    <s v="Chandigarh"/>
    <s v="Aarav Mehta"/>
    <x v="1"/>
    <s v="Cotton T-Shirt"/>
    <n v="5"/>
    <n v="599"/>
    <n v="0.1"/>
    <s v="UPI"/>
    <x v="0"/>
    <n v="2695.5"/>
    <s v="August"/>
    <s v="Low"/>
    <n v="300"/>
    <n v="2395.5"/>
    <n v="9"/>
    <s v="Friday"/>
  </r>
  <r>
    <s v="ORD1137"/>
    <d v="2025-08-02T00:00:00"/>
    <d v="2025-08-07T00:00:00"/>
    <x v="1"/>
    <s v="Bengaluru"/>
    <s v="Meera Nair"/>
    <x v="0"/>
    <s v="Gel Pen Box"/>
    <n v="10"/>
    <n v="249"/>
    <n v="0.1"/>
    <s v="Credit Card"/>
    <x v="0"/>
    <n v="2241"/>
    <s v="August"/>
    <s v="Low"/>
    <n v="120"/>
    <n v="2121"/>
    <n v="5"/>
    <s v="Saturday"/>
  </r>
  <r>
    <s v="ORD1138"/>
    <d v="2025-08-02T00:00:00"/>
    <d v="2025-08-05T00:00:00"/>
    <x v="1"/>
    <s v="Hyderabad"/>
    <s v="Meera Nair"/>
    <x v="3"/>
    <s v="Bluetooth Speaker"/>
    <n v="4"/>
    <n v="2499"/>
    <n v="0"/>
    <s v="Credit Card"/>
    <x v="0"/>
    <n v="9996"/>
    <s v="August"/>
    <s v="Medium"/>
    <n v="1500"/>
    <n v="8496"/>
    <n v="3"/>
    <s v="Saturday"/>
  </r>
  <r>
    <s v="ORD1139"/>
    <d v="2025-08-03T00:00:00"/>
    <d v="2025-08-05T00:00:00"/>
    <x v="3"/>
    <s v="Ahmedabad"/>
    <s v="Neha Joshi"/>
    <x v="3"/>
    <s v="Bluetooth Speaker"/>
    <n v="6"/>
    <n v="2499"/>
    <n v="0.15"/>
    <s v="UPI"/>
    <x v="0"/>
    <n v="12744.9"/>
    <s v="August"/>
    <s v="Medium"/>
    <n v="1500"/>
    <n v="11244.9"/>
    <n v="2"/>
    <s v="Sunday"/>
  </r>
  <r>
    <s v="ORD1140"/>
    <d v="2025-08-05T00:00:00"/>
    <d v="2025-08-12T00:00:00"/>
    <x v="1"/>
    <s v="Bengaluru"/>
    <s v="Karthik Iyer"/>
    <x v="3"/>
    <s v="Headphones"/>
    <n v="1"/>
    <n v="1999"/>
    <n v="0.1"/>
    <s v="COD"/>
    <x v="0"/>
    <n v="1799.1000000000001"/>
    <s v="August"/>
    <s v="Low"/>
    <n v="1100"/>
    <n v="699.10000000000014"/>
    <n v="7"/>
    <s v="Tuesday"/>
  </r>
  <r>
    <s v="ORD1141"/>
    <d v="2025-08-07T00:00:00"/>
    <d v="2025-08-10T00:00:00"/>
    <x v="0"/>
    <s v="Kolkata"/>
    <s v="Rohit Das"/>
    <x v="2"/>
    <s v="Office Chair"/>
    <n v="2"/>
    <n v="6999"/>
    <n v="0"/>
    <s v="COD"/>
    <x v="0"/>
    <n v="13998"/>
    <s v="August"/>
    <s v="Medium"/>
    <n v="4200"/>
    <n v="9798"/>
    <n v="3"/>
    <s v="Thursday"/>
  </r>
  <r>
    <s v="ORD1142"/>
    <d v="2025-08-10T00:00:00"/>
    <d v="2025-08-14T00:00:00"/>
    <x v="3"/>
    <s v="Ahmedabad"/>
    <s v="Neha Joshi"/>
    <x v="3"/>
    <s v="Bluetooth Speaker"/>
    <n v="1"/>
    <n v="2499"/>
    <n v="0.05"/>
    <s v="Credit Card"/>
    <x v="0"/>
    <n v="2374.0499999999997"/>
    <s v="August"/>
    <s v="Low"/>
    <n v="1500"/>
    <n v="874.04999999999973"/>
    <n v="4"/>
    <s v="Sunday"/>
  </r>
  <r>
    <s v="ORD1143"/>
    <d v="2025-08-12T00:00:00"/>
    <d v="2025-08-21T00:00:00"/>
    <x v="1"/>
    <s v="Bengaluru"/>
    <s v="Karthik Iyer"/>
    <x v="1"/>
    <s v="Denim Jacket"/>
    <n v="4"/>
    <n v="2999"/>
    <n v="0.2"/>
    <s v="Debit Card"/>
    <x v="0"/>
    <n v="9596.8000000000011"/>
    <s v="August"/>
    <s v="Medium"/>
    <n v="1700"/>
    <n v="7896.8000000000011"/>
    <n v="9"/>
    <s v="Tuesday"/>
  </r>
  <r>
    <s v="ORD1144"/>
    <d v="2025-08-12T00:00:00"/>
    <d v="2025-08-18T00:00:00"/>
    <x v="0"/>
    <s v="Bhubaneswar"/>
    <s v="Rohit Das"/>
    <x v="2"/>
    <s v="Bookshelf"/>
    <n v="2"/>
    <n v="5499"/>
    <n v="0.15"/>
    <s v="COD"/>
    <x v="0"/>
    <n v="9348.2999999999993"/>
    <s v="August"/>
    <s v="Medium"/>
    <n v="3300"/>
    <n v="6048.2999999999993"/>
    <n v="6"/>
    <s v="Tuesday"/>
  </r>
  <r>
    <s v="ORD1145"/>
    <d v="2025-08-17T00:00:00"/>
    <d v="2025-08-21T00:00:00"/>
    <x v="1"/>
    <s v="Bengaluru"/>
    <s v="Meera Nair"/>
    <x v="2"/>
    <s v="Bookshelf"/>
    <n v="3"/>
    <n v="5499"/>
    <n v="0.1"/>
    <s v="UPI"/>
    <x v="0"/>
    <n v="14847.300000000001"/>
    <s v="August"/>
    <s v="Medium"/>
    <n v="3300"/>
    <n v="11547.300000000001"/>
    <n v="4"/>
    <s v="Sunday"/>
  </r>
  <r>
    <s v="ORD1146"/>
    <d v="2025-08-18T00:00:00"/>
    <d v="2025-08-27T00:00:00"/>
    <x v="1"/>
    <s v="Bengaluru"/>
    <s v="Meera Nair"/>
    <x v="0"/>
    <s v="Gel Pen Box"/>
    <n v="19"/>
    <n v="249"/>
    <n v="0"/>
    <s v="Debit Card"/>
    <x v="0"/>
    <n v="4731"/>
    <s v="August"/>
    <s v="Low"/>
    <n v="120"/>
    <n v="4611"/>
    <n v="9"/>
    <s v="Monday"/>
  </r>
  <r>
    <s v="ORD1147"/>
    <d v="2025-08-18T00:00:00"/>
    <d v="2025-08-21T00:00:00"/>
    <x v="1"/>
    <s v="Hyderabad"/>
    <s v="Meera Nair"/>
    <x v="3"/>
    <s v="Headphones"/>
    <n v="2"/>
    <n v="1999"/>
    <n v="0.1"/>
    <s v="UPI"/>
    <x v="0"/>
    <n v="3598.2000000000003"/>
    <s v="August"/>
    <s v="Low"/>
    <n v="1100"/>
    <n v="2498.2000000000003"/>
    <n v="3"/>
    <s v="Monday"/>
  </r>
  <r>
    <s v="ORD1148"/>
    <d v="2025-08-24T00:00:00"/>
    <d v="2025-08-31T00:00:00"/>
    <x v="1"/>
    <s v="Chennai"/>
    <s v="Karthik Iyer"/>
    <x v="0"/>
    <s v="Notebook Pack"/>
    <n v="24"/>
    <n v="349"/>
    <n v="0.15"/>
    <s v="Net Banking"/>
    <x v="0"/>
    <n v="7119.5999999999995"/>
    <s v="August"/>
    <s v="Medium"/>
    <n v="180"/>
    <n v="6939.5999999999995"/>
    <n v="7"/>
    <s v="Sunday"/>
  </r>
  <r>
    <s v="ORD1149"/>
    <d v="2025-08-26T00:00:00"/>
    <d v="2025-09-03T00:00:00"/>
    <x v="2"/>
    <s v="Delhi"/>
    <s v="Aarav Mehta"/>
    <x v="3"/>
    <s v="Power Bank"/>
    <n v="2"/>
    <n v="1499"/>
    <n v="0"/>
    <s v="Debit Card"/>
    <x v="0"/>
    <n v="2998"/>
    <s v="August"/>
    <s v="Low"/>
    <n v="850"/>
    <n v="2148"/>
    <n v="8"/>
    <s v="Tuesday"/>
  </r>
  <r>
    <s v="ORD1150"/>
    <d v="2025-08-27T00:00:00"/>
    <d v="2025-09-04T00:00:00"/>
    <x v="1"/>
    <s v="Chennai"/>
    <s v="Karthik Iyer"/>
    <x v="3"/>
    <s v="Headphones"/>
    <n v="3"/>
    <n v="1999"/>
    <n v="0"/>
    <s v="Net Banking"/>
    <x v="0"/>
    <n v="5997"/>
    <s v="August"/>
    <s v="Medium"/>
    <n v="1100"/>
    <n v="4897"/>
    <n v="8"/>
    <s v="Wednesday"/>
  </r>
  <r>
    <s v="ORD1151"/>
    <d v="2025-08-28T00:00:00"/>
    <d v="2025-09-05T00:00:00"/>
    <x v="0"/>
    <s v="Bhubaneswar"/>
    <s v="Rohit Das"/>
    <x v="1"/>
    <s v="Denim Jacket"/>
    <n v="1"/>
    <n v="2999"/>
    <n v="0.2"/>
    <s v="UPI"/>
    <x v="0"/>
    <n v="2399.2000000000003"/>
    <s v="August"/>
    <s v="Low"/>
    <n v="1700"/>
    <n v="699.20000000000027"/>
    <n v="8"/>
    <s v="Thursday"/>
  </r>
  <r>
    <s v="ORD1152"/>
    <d v="2025-08-28T00:00:00"/>
    <d v="2025-09-02T00:00:00"/>
    <x v="0"/>
    <s v="Patna"/>
    <s v="Rohit Das"/>
    <x v="2"/>
    <s v="Office Chair"/>
    <n v="2"/>
    <n v="6999"/>
    <n v="0.15"/>
    <s v="COD"/>
    <x v="0"/>
    <n v="11898.3"/>
    <s v="August"/>
    <s v="Medium"/>
    <n v="4200"/>
    <n v="7698.2999999999993"/>
    <n v="5"/>
    <s v="Thursday"/>
  </r>
  <r>
    <s v="ORD1153"/>
    <d v="2025-08-30T00:00:00"/>
    <d v="2025-09-06T00:00:00"/>
    <x v="0"/>
    <s v="Kolkata"/>
    <s v="Rohit Das"/>
    <x v="3"/>
    <s v="Headphones"/>
    <n v="6"/>
    <n v="1999"/>
    <n v="0.2"/>
    <s v="UPI"/>
    <x v="0"/>
    <n v="9595.2000000000007"/>
    <s v="August"/>
    <s v="Medium"/>
    <n v="1100"/>
    <n v="8495.2000000000007"/>
    <n v="7"/>
    <s v="Saturday"/>
  </r>
  <r>
    <s v="ORD1154"/>
    <d v="2025-09-01T00:00:00"/>
    <m/>
    <x v="1"/>
    <s v="Hyderabad"/>
    <s v="Meera Nair"/>
    <x v="0"/>
    <s v="Notebook Pack"/>
    <n v="19"/>
    <n v="349"/>
    <n v="0.1"/>
    <s v="COD"/>
    <x v="1"/>
    <n v="5967.9000000000005"/>
    <s v="September"/>
    <s v="Medium"/>
    <n v="180"/>
    <n v="5787.9000000000005"/>
    <s v=""/>
    <s v="Monday"/>
  </r>
  <r>
    <s v="ORD1155"/>
    <d v="2025-09-03T00:00:00"/>
    <d v="2025-09-07T00:00:00"/>
    <x v="2"/>
    <s v="Chandigarh"/>
    <s v="Simran Kaur"/>
    <x v="1"/>
    <s v="Cotton T-Shirt"/>
    <n v="2"/>
    <n v="599"/>
    <n v="0.05"/>
    <s v="UPI"/>
    <x v="2"/>
    <n v="1138.0999999999999"/>
    <s v="September"/>
    <s v="Low"/>
    <n v="300"/>
    <n v="838.09999999999991"/>
    <n v="4"/>
    <s v="Wednesday"/>
  </r>
  <r>
    <s v="ORD1156"/>
    <d v="2025-09-03T00:00:00"/>
    <d v="2025-09-05T00:00:00"/>
    <x v="2"/>
    <s v="Lucknow"/>
    <s v="Simran Kaur"/>
    <x v="1"/>
    <s v="Cotton T-Shirt"/>
    <n v="4"/>
    <n v="599"/>
    <n v="0.15"/>
    <s v="Credit Card"/>
    <x v="0"/>
    <n v="2036.6"/>
    <s v="September"/>
    <s v="Low"/>
    <n v="300"/>
    <n v="1736.6"/>
    <n v="2"/>
    <s v="Wednesday"/>
  </r>
  <r>
    <s v="ORD1157"/>
    <d v="2025-09-03T00:00:00"/>
    <m/>
    <x v="3"/>
    <s v="Mumbai"/>
    <s v="Neha Joshi"/>
    <x v="2"/>
    <s v="Office Chair"/>
    <n v="2"/>
    <n v="6999"/>
    <n v="0.05"/>
    <s v="Credit Card"/>
    <x v="1"/>
    <n v="13298.099999999999"/>
    <s v="September"/>
    <s v="Medium"/>
    <n v="4200"/>
    <n v="9098.0999999999985"/>
    <s v=""/>
    <s v="Wednesday"/>
  </r>
  <r>
    <s v="ORD1158"/>
    <d v="2025-09-03T00:00:00"/>
    <m/>
    <x v="1"/>
    <s v="Bengaluru"/>
    <s v="Meera Nair"/>
    <x v="0"/>
    <s v="Gel Pen Box"/>
    <n v="14"/>
    <n v="249"/>
    <n v="0.05"/>
    <s v="Net Banking"/>
    <x v="1"/>
    <n v="3311.7"/>
    <s v="September"/>
    <s v="Low"/>
    <n v="120"/>
    <n v="3191.7"/>
    <s v=""/>
    <s v="Wednesday"/>
  </r>
  <r>
    <s v="ORD1159"/>
    <d v="2025-09-04T00:00:00"/>
    <d v="2025-09-08T00:00:00"/>
    <x v="3"/>
    <s v="Pune"/>
    <s v="Neha Joshi"/>
    <x v="0"/>
    <s v="Notebook Pack"/>
    <n v="23"/>
    <n v="349"/>
    <n v="0.05"/>
    <s v="UPI"/>
    <x v="0"/>
    <n v="7625.65"/>
    <s v="September"/>
    <s v="Medium"/>
    <n v="180"/>
    <n v="7445.65"/>
    <n v="4"/>
    <s v="Thursday"/>
  </r>
  <r>
    <s v="ORD1160"/>
    <d v="2025-09-06T00:00:00"/>
    <d v="2025-09-15T00:00:00"/>
    <x v="1"/>
    <s v="Chennai"/>
    <s v="Karthik Iyer"/>
    <x v="3"/>
    <s v="Power Bank"/>
    <n v="4"/>
    <n v="1499"/>
    <n v="0.1"/>
    <s v="Credit Card"/>
    <x v="0"/>
    <n v="5396.4000000000005"/>
    <s v="September"/>
    <s v="Medium"/>
    <n v="850"/>
    <n v="4546.4000000000005"/>
    <n v="9"/>
    <s v="Saturday"/>
  </r>
  <r>
    <s v="ORD1161"/>
    <d v="2025-09-06T00:00:00"/>
    <d v="2025-09-14T00:00:00"/>
    <x v="2"/>
    <s v="Lucknow"/>
    <s v="Simran Kaur"/>
    <x v="1"/>
    <s v="Cotton T-Shirt"/>
    <n v="5"/>
    <n v="599"/>
    <n v="0.2"/>
    <s v="UPI"/>
    <x v="0"/>
    <n v="2396"/>
    <s v="September"/>
    <s v="Low"/>
    <n v="300"/>
    <n v="2096"/>
    <n v="8"/>
    <s v="Saturday"/>
  </r>
  <r>
    <s v="ORD1162"/>
    <d v="2025-09-09T00:00:00"/>
    <d v="2025-09-16T00:00:00"/>
    <x v="2"/>
    <s v="Chandigarh"/>
    <s v="Aarav Mehta"/>
    <x v="0"/>
    <s v="Desk Organizer"/>
    <n v="12"/>
    <n v="599"/>
    <n v="0.05"/>
    <s v="UPI"/>
    <x v="0"/>
    <n v="6828.5999999999995"/>
    <s v="September"/>
    <s v="Medium"/>
    <n v="320"/>
    <n v="6508.5999999999995"/>
    <n v="7"/>
    <s v="Tuesday"/>
  </r>
  <r>
    <s v="ORD1163"/>
    <d v="2025-09-10T00:00:00"/>
    <d v="2025-09-16T00:00:00"/>
    <x v="2"/>
    <s v="Lucknow"/>
    <s v="Simran Kaur"/>
    <x v="3"/>
    <s v="Wireless Mouse"/>
    <n v="5"/>
    <n v="799"/>
    <n v="0.1"/>
    <s v="COD"/>
    <x v="0"/>
    <n v="3595.5"/>
    <s v="September"/>
    <s v="Low"/>
    <n v="450"/>
    <n v="3145.5"/>
    <n v="6"/>
    <s v="Wednesday"/>
  </r>
  <r>
    <s v="ORD1164"/>
    <d v="2025-09-14T00:00:00"/>
    <d v="2025-09-17T00:00:00"/>
    <x v="2"/>
    <s v="Chandigarh"/>
    <s v="Simran Kaur"/>
    <x v="3"/>
    <s v="Power Bank"/>
    <n v="2"/>
    <n v="1499"/>
    <n v="0.05"/>
    <s v="COD"/>
    <x v="0"/>
    <n v="2848.1"/>
    <s v="September"/>
    <s v="Low"/>
    <n v="850"/>
    <n v="1998.1"/>
    <n v="3"/>
    <s v="Sunday"/>
  </r>
  <r>
    <s v="ORD1165"/>
    <d v="2025-09-17T00:00:00"/>
    <d v="2025-09-24T00:00:00"/>
    <x v="3"/>
    <s v="Pune"/>
    <s v="Neha Joshi"/>
    <x v="3"/>
    <s v="Bluetooth Speaker"/>
    <n v="3"/>
    <n v="2499"/>
    <n v="0.05"/>
    <s v="Credit Card"/>
    <x v="0"/>
    <n v="7122.15"/>
    <s v="September"/>
    <s v="Medium"/>
    <n v="1500"/>
    <n v="5622.15"/>
    <n v="7"/>
    <s v="Wednesday"/>
  </r>
  <r>
    <s v="ORD1166"/>
    <d v="2025-09-20T00:00:00"/>
    <d v="2025-09-24T00:00:00"/>
    <x v="2"/>
    <s v="Delhi"/>
    <s v="Simran Kaur"/>
    <x v="2"/>
    <s v="Bookshelf"/>
    <n v="2"/>
    <n v="5499"/>
    <n v="0.2"/>
    <s v="UPI"/>
    <x v="0"/>
    <n v="8798.4"/>
    <s v="September"/>
    <s v="Medium"/>
    <n v="3300"/>
    <n v="5498.4"/>
    <n v="4"/>
    <s v="Saturday"/>
  </r>
  <r>
    <s v="ORD1167"/>
    <d v="2025-09-22T00:00:00"/>
    <d v="2025-09-30T00:00:00"/>
    <x v="2"/>
    <s v="Delhi"/>
    <s v="Simran Kaur"/>
    <x v="3"/>
    <s v="Wireless Mouse"/>
    <n v="1"/>
    <n v="799"/>
    <n v="0.1"/>
    <s v="Credit Card"/>
    <x v="0"/>
    <n v="719.1"/>
    <s v="September"/>
    <s v="Low"/>
    <n v="450"/>
    <n v="269.10000000000002"/>
    <n v="8"/>
    <s v="Monday"/>
  </r>
  <r>
    <s v="ORD1168"/>
    <d v="2025-09-25T00:00:00"/>
    <m/>
    <x v="0"/>
    <s v="Patna"/>
    <s v="Ananya Sen"/>
    <x v="0"/>
    <s v="Gel Pen Box"/>
    <n v="9"/>
    <n v="249"/>
    <n v="0.05"/>
    <s v="Credit Card"/>
    <x v="1"/>
    <n v="2128.9499999999998"/>
    <s v="September"/>
    <s v="Low"/>
    <n v="120"/>
    <n v="2008.9499999999998"/>
    <s v=""/>
    <s v="Thursday"/>
  </r>
  <r>
    <s v="ORD1169"/>
    <d v="2025-09-27T00:00:00"/>
    <d v="2025-09-29T00:00:00"/>
    <x v="1"/>
    <s v="Chennai"/>
    <s v="Meera Nair"/>
    <x v="1"/>
    <s v="Denim Jacket"/>
    <n v="4"/>
    <n v="2999"/>
    <n v="0.1"/>
    <s v="Debit Card"/>
    <x v="0"/>
    <n v="10796.4"/>
    <s v="September"/>
    <s v="Medium"/>
    <n v="1700"/>
    <n v="9096.4"/>
    <n v="2"/>
    <s v="Saturday"/>
  </r>
  <r>
    <s v="ORD1170"/>
    <d v="2025-09-28T00:00:00"/>
    <d v="2025-10-05T00:00:00"/>
    <x v="0"/>
    <s v="Bhubaneswar"/>
    <s v="Ananya Sen"/>
    <x v="1"/>
    <s v="Cotton T-Shirt"/>
    <n v="6"/>
    <n v="599"/>
    <n v="0"/>
    <s v="Debit Card"/>
    <x v="0"/>
    <n v="3594"/>
    <s v="September"/>
    <s v="Low"/>
    <n v="300"/>
    <n v="3294"/>
    <n v="7"/>
    <s v="Sunday"/>
  </r>
  <r>
    <s v="ORD1171"/>
    <d v="2025-09-28T00:00:00"/>
    <d v="2025-09-30T00:00:00"/>
    <x v="0"/>
    <s v="Bhubaneswar"/>
    <s v="Rohit Das"/>
    <x v="2"/>
    <s v="Bookshelf"/>
    <n v="2"/>
    <n v="5499"/>
    <n v="0"/>
    <s v="COD"/>
    <x v="0"/>
    <n v="10998"/>
    <s v="September"/>
    <s v="Medium"/>
    <n v="3300"/>
    <n v="7698"/>
    <n v="2"/>
    <s v="Sunday"/>
  </r>
  <r>
    <s v="ORD1172"/>
    <d v="2025-09-29T00:00:00"/>
    <d v="2025-10-02T00:00:00"/>
    <x v="0"/>
    <s v="Patna"/>
    <s v="Rohit Das"/>
    <x v="1"/>
    <s v="Denim Jacket"/>
    <n v="1"/>
    <n v="2999"/>
    <n v="0.1"/>
    <s v="UPI"/>
    <x v="0"/>
    <n v="2699.1"/>
    <s v="September"/>
    <s v="Low"/>
    <n v="1700"/>
    <n v="999.09999999999991"/>
    <n v="3"/>
    <s v="Monday"/>
  </r>
  <r>
    <s v="ORD1173"/>
    <d v="2025-09-30T00:00:00"/>
    <d v="2025-10-07T00:00:00"/>
    <x v="1"/>
    <s v="Hyderabad"/>
    <s v="Meera Nair"/>
    <x v="2"/>
    <s v="Bookshelf"/>
    <n v="3"/>
    <n v="5499"/>
    <n v="0"/>
    <s v="UPI"/>
    <x v="0"/>
    <n v="16497"/>
    <s v="September"/>
    <s v="High Value"/>
    <n v="3300"/>
    <n v="13197"/>
    <n v="7"/>
    <s v="Tuesday"/>
  </r>
  <r>
    <s v="ORD1174"/>
    <d v="2025-10-02T00:00:00"/>
    <d v="2025-10-06T00:00:00"/>
    <x v="3"/>
    <s v="Mumbai"/>
    <s v="Neha Joshi"/>
    <x v="3"/>
    <s v="Bluetooth Speaker"/>
    <n v="1"/>
    <n v="2499"/>
    <n v="0.15"/>
    <s v="UPI"/>
    <x v="0"/>
    <n v="2124.15"/>
    <s v="October"/>
    <s v="Low"/>
    <n v="1500"/>
    <n v="624.15000000000009"/>
    <n v="4"/>
    <s v="Thursday"/>
  </r>
  <r>
    <s v="ORD1175"/>
    <d v="2025-10-05T00:00:00"/>
    <d v="2025-10-10T00:00:00"/>
    <x v="1"/>
    <s v="Hyderabad"/>
    <s v="Meera Nair"/>
    <x v="0"/>
    <s v="Notebook Pack"/>
    <n v="24"/>
    <n v="349"/>
    <n v="0"/>
    <s v="Net Banking"/>
    <x v="0"/>
    <n v="8376"/>
    <s v="October"/>
    <s v="Medium"/>
    <n v="180"/>
    <n v="8196"/>
    <n v="5"/>
    <s v="Sunday"/>
  </r>
  <r>
    <s v="ORD1176"/>
    <d v="2025-10-06T00:00:00"/>
    <d v="2025-10-10T00:00:00"/>
    <x v="3"/>
    <s v="Mumbai"/>
    <s v="Neha Joshi"/>
    <x v="2"/>
    <s v="Office Chair"/>
    <n v="3"/>
    <n v="6999"/>
    <n v="0.05"/>
    <s v="Credit Card"/>
    <x v="0"/>
    <n v="19947.149999999998"/>
    <s v="October"/>
    <s v="High Value"/>
    <n v="4200"/>
    <n v="15747.149999999998"/>
    <n v="4"/>
    <s v="Monday"/>
  </r>
  <r>
    <s v="ORD1177"/>
    <d v="2025-10-06T00:00:00"/>
    <d v="2025-10-12T00:00:00"/>
    <x v="0"/>
    <s v="Bhubaneswar"/>
    <s v="Ananya Sen"/>
    <x v="0"/>
    <s v="Notebook Pack"/>
    <n v="7"/>
    <n v="349"/>
    <n v="0"/>
    <s v="COD"/>
    <x v="0"/>
    <n v="2443"/>
    <s v="October"/>
    <s v="Low"/>
    <n v="180"/>
    <n v="2263"/>
    <n v="6"/>
    <s v="Monday"/>
  </r>
  <r>
    <s v="ORD1178"/>
    <d v="2025-10-07T00:00:00"/>
    <d v="2025-10-13T00:00:00"/>
    <x v="3"/>
    <s v="Mumbai"/>
    <s v="Vikram Shah"/>
    <x v="0"/>
    <s v="Desk Organizer"/>
    <n v="15"/>
    <n v="599"/>
    <n v="0.2"/>
    <s v="Credit Card"/>
    <x v="0"/>
    <n v="7188"/>
    <s v="October"/>
    <s v="Medium"/>
    <n v="320"/>
    <n v="6868"/>
    <n v="6"/>
    <s v="Tuesday"/>
  </r>
  <r>
    <s v="ORD1179"/>
    <d v="2025-10-08T00:00:00"/>
    <d v="2025-10-10T00:00:00"/>
    <x v="0"/>
    <s v="Patna"/>
    <s v="Rohit Das"/>
    <x v="2"/>
    <s v="Study Desk"/>
    <n v="2"/>
    <n v="8499"/>
    <n v="0"/>
    <s v="Net Banking"/>
    <x v="0"/>
    <n v="16998"/>
    <s v="October"/>
    <s v="High Value"/>
    <n v="5200"/>
    <n v="11798"/>
    <n v="2"/>
    <s v="Wednesday"/>
  </r>
  <r>
    <s v="ORD1180"/>
    <d v="2025-10-11T00:00:00"/>
    <d v="2025-10-19T00:00:00"/>
    <x v="3"/>
    <s v="Mumbai"/>
    <s v="Vikram Shah"/>
    <x v="2"/>
    <s v="Bookshelf"/>
    <n v="1"/>
    <n v="5499"/>
    <n v="0"/>
    <s v="UPI"/>
    <x v="0"/>
    <n v="5499"/>
    <s v="October"/>
    <s v="Medium"/>
    <n v="3300"/>
    <n v="2199"/>
    <n v="8"/>
    <s v="Saturday"/>
  </r>
  <r>
    <s v="ORD1181"/>
    <d v="2025-10-11T00:00:00"/>
    <d v="2025-10-17T00:00:00"/>
    <x v="0"/>
    <s v="Kolkata"/>
    <s v="Rohit Das"/>
    <x v="3"/>
    <s v="Power Bank"/>
    <n v="2"/>
    <n v="1499"/>
    <n v="0.2"/>
    <s v="UPI"/>
    <x v="0"/>
    <n v="2398.4"/>
    <s v="October"/>
    <s v="Low"/>
    <n v="850"/>
    <n v="1548.4"/>
    <n v="6"/>
    <s v="Saturday"/>
  </r>
  <r>
    <s v="ORD1182"/>
    <d v="2025-10-11T00:00:00"/>
    <d v="2025-10-14T00:00:00"/>
    <x v="0"/>
    <s v="Kolkata"/>
    <s v="Ananya Sen"/>
    <x v="2"/>
    <s v="Bookshelf"/>
    <n v="2"/>
    <n v="5499"/>
    <n v="0.05"/>
    <s v="UPI"/>
    <x v="0"/>
    <n v="10448.1"/>
    <s v="October"/>
    <s v="Medium"/>
    <n v="3300"/>
    <n v="7148.1"/>
    <n v="3"/>
    <s v="Saturday"/>
  </r>
  <r>
    <s v="ORD1183"/>
    <d v="2025-10-14T00:00:00"/>
    <d v="2025-10-18T00:00:00"/>
    <x v="2"/>
    <s v="Chandigarh"/>
    <s v="Simran Kaur"/>
    <x v="3"/>
    <s v="Headphones"/>
    <n v="1"/>
    <n v="1999"/>
    <n v="0.1"/>
    <s v="Credit Card"/>
    <x v="0"/>
    <n v="1799.1000000000001"/>
    <s v="October"/>
    <s v="Low"/>
    <n v="1100"/>
    <n v="699.10000000000014"/>
    <n v="4"/>
    <s v="Tuesday"/>
  </r>
  <r>
    <s v="ORD1184"/>
    <d v="2025-10-16T00:00:00"/>
    <d v="2025-10-19T00:00:00"/>
    <x v="0"/>
    <s v="Patna"/>
    <s v="Rohit Das"/>
    <x v="3"/>
    <s v="Bluetooth Speaker"/>
    <n v="1"/>
    <n v="2499"/>
    <n v="0.1"/>
    <s v="Credit Card"/>
    <x v="0"/>
    <n v="2249.1"/>
    <s v="October"/>
    <s v="Low"/>
    <n v="1500"/>
    <n v="749.09999999999991"/>
    <n v="3"/>
    <s v="Thursday"/>
  </r>
  <r>
    <s v="ORD1185"/>
    <d v="2025-10-17T00:00:00"/>
    <d v="2025-10-19T00:00:00"/>
    <x v="3"/>
    <s v="Ahmedabad"/>
    <s v="Vikram Shah"/>
    <x v="2"/>
    <s v="Study Desk"/>
    <n v="1"/>
    <n v="8499"/>
    <n v="0.05"/>
    <s v="Credit Card"/>
    <x v="0"/>
    <n v="8074.0499999999993"/>
    <s v="October"/>
    <s v="Medium"/>
    <n v="5200"/>
    <n v="2874.0499999999993"/>
    <n v="2"/>
    <s v="Friday"/>
  </r>
  <r>
    <s v="ORD1186"/>
    <d v="2025-10-17T00:00:00"/>
    <d v="2025-10-22T00:00:00"/>
    <x v="3"/>
    <s v="Pune"/>
    <s v="Vikram Shah"/>
    <x v="3"/>
    <s v="Power Bank"/>
    <n v="6"/>
    <n v="1499"/>
    <n v="0.1"/>
    <s v="COD"/>
    <x v="0"/>
    <n v="8094.6"/>
    <s v="October"/>
    <s v="Medium"/>
    <n v="850"/>
    <n v="7244.6"/>
    <n v="5"/>
    <s v="Friday"/>
  </r>
  <r>
    <s v="ORD1187"/>
    <d v="2025-10-19T00:00:00"/>
    <d v="2025-10-24T00:00:00"/>
    <x v="1"/>
    <s v="Bengaluru"/>
    <s v="Karthik Iyer"/>
    <x v="0"/>
    <s v="Desk Organizer"/>
    <n v="5"/>
    <n v="599"/>
    <n v="0.05"/>
    <s v="UPI"/>
    <x v="0"/>
    <n v="2845.25"/>
    <s v="October"/>
    <s v="Low"/>
    <n v="320"/>
    <n v="2525.25"/>
    <n v="5"/>
    <s v="Sunday"/>
  </r>
  <r>
    <s v="ORD1188"/>
    <d v="2025-10-21T00:00:00"/>
    <d v="2025-10-28T00:00:00"/>
    <x v="2"/>
    <s v="Delhi"/>
    <s v="Simran Kaur"/>
    <x v="0"/>
    <s v="Notebook Pack"/>
    <n v="23"/>
    <n v="349"/>
    <n v="0.2"/>
    <s v="Debit Card"/>
    <x v="2"/>
    <n v="6421.6"/>
    <s v="October"/>
    <s v="Medium"/>
    <n v="180"/>
    <n v="6241.6"/>
    <n v="7"/>
    <s v="Tuesday"/>
  </r>
  <r>
    <s v="ORD1189"/>
    <d v="2025-10-21T00:00:00"/>
    <d v="2025-10-26T00:00:00"/>
    <x v="2"/>
    <s v="Chandigarh"/>
    <s v="Simran Kaur"/>
    <x v="0"/>
    <s v="Gel Pen Box"/>
    <n v="16"/>
    <n v="249"/>
    <n v="0"/>
    <s v="Net Banking"/>
    <x v="0"/>
    <n v="3984"/>
    <s v="October"/>
    <s v="Low"/>
    <n v="120"/>
    <n v="3864"/>
    <n v="5"/>
    <s v="Tuesday"/>
  </r>
  <r>
    <s v="ORD1190"/>
    <d v="2025-10-22T00:00:00"/>
    <d v="2025-10-30T00:00:00"/>
    <x v="0"/>
    <s v="Patna"/>
    <s v="Ananya Sen"/>
    <x v="3"/>
    <s v="Bluetooth Speaker"/>
    <n v="1"/>
    <n v="2499"/>
    <n v="0.2"/>
    <s v="COD"/>
    <x v="0"/>
    <n v="1999.2"/>
    <s v="October"/>
    <s v="Low"/>
    <n v="1500"/>
    <n v="499.20000000000005"/>
    <n v="8"/>
    <s v="Wednesday"/>
  </r>
  <r>
    <s v="ORD1191"/>
    <d v="2025-10-22T00:00:00"/>
    <m/>
    <x v="3"/>
    <s v="Pune"/>
    <s v="Vikram Shah"/>
    <x v="0"/>
    <s v="Notebook Pack"/>
    <n v="17"/>
    <n v="349"/>
    <n v="0.15"/>
    <s v="UPI"/>
    <x v="1"/>
    <n v="5043.05"/>
    <s v="October"/>
    <s v="Medium"/>
    <n v="180"/>
    <n v="4863.05"/>
    <s v=""/>
    <s v="Wednesday"/>
  </r>
  <r>
    <s v="ORD1192"/>
    <d v="2025-10-23T00:00:00"/>
    <d v="2025-10-27T00:00:00"/>
    <x v="2"/>
    <s v="Delhi"/>
    <s v="Simran Kaur"/>
    <x v="1"/>
    <s v="Cotton T-Shirt"/>
    <n v="2"/>
    <n v="599"/>
    <n v="0.2"/>
    <s v="Credit Card"/>
    <x v="0"/>
    <n v="958.40000000000009"/>
    <s v="October"/>
    <s v="Low"/>
    <n v="300"/>
    <n v="658.40000000000009"/>
    <n v="4"/>
    <s v="Thursday"/>
  </r>
  <r>
    <s v="ORD1193"/>
    <d v="2025-10-23T00:00:00"/>
    <m/>
    <x v="1"/>
    <s v="Hyderabad"/>
    <s v="Meera Nair"/>
    <x v="2"/>
    <s v="Study Desk"/>
    <n v="2"/>
    <n v="8499"/>
    <n v="0.1"/>
    <s v="Debit Card"/>
    <x v="1"/>
    <n v="15298.2"/>
    <s v="October"/>
    <s v="High Value"/>
    <n v="5200"/>
    <n v="10098.200000000001"/>
    <s v=""/>
    <s v="Thursday"/>
  </r>
  <r>
    <s v="ORD1194"/>
    <d v="2025-10-24T00:00:00"/>
    <d v="2025-10-31T00:00:00"/>
    <x v="2"/>
    <s v="Delhi"/>
    <s v="Aarav Mehta"/>
    <x v="2"/>
    <s v="Bookshelf"/>
    <n v="2"/>
    <n v="5499"/>
    <n v="0.2"/>
    <s v="Debit Card"/>
    <x v="0"/>
    <n v="8798.4"/>
    <s v="October"/>
    <s v="Medium"/>
    <n v="3300"/>
    <n v="5498.4"/>
    <n v="7"/>
    <s v="Friday"/>
  </r>
  <r>
    <s v="ORD1195"/>
    <d v="2025-10-25T00:00:00"/>
    <d v="2025-10-29T00:00:00"/>
    <x v="1"/>
    <s v="Hyderabad"/>
    <s v="Meera Nair"/>
    <x v="3"/>
    <s v="Power Bank"/>
    <n v="6"/>
    <n v="1499"/>
    <n v="0.05"/>
    <s v="Debit Card"/>
    <x v="0"/>
    <n v="8544.2999999999993"/>
    <s v="October"/>
    <s v="Medium"/>
    <n v="850"/>
    <n v="7694.2999999999993"/>
    <n v="4"/>
    <s v="Saturday"/>
  </r>
  <r>
    <s v="ORD1196"/>
    <d v="2025-10-25T00:00:00"/>
    <d v="2025-11-02T00:00:00"/>
    <x v="2"/>
    <s v="Delhi"/>
    <s v="Aarav Mehta"/>
    <x v="3"/>
    <s v="Headphones"/>
    <n v="5"/>
    <n v="1999"/>
    <n v="0"/>
    <s v="Debit Card"/>
    <x v="0"/>
    <n v="9995"/>
    <s v="October"/>
    <s v="Medium"/>
    <n v="1100"/>
    <n v="8895"/>
    <n v="8"/>
    <s v="Saturday"/>
  </r>
  <r>
    <s v="ORD1197"/>
    <d v="2025-10-26T00:00:00"/>
    <d v="2025-11-02T00:00:00"/>
    <x v="3"/>
    <s v="Ahmedabad"/>
    <s v="Neha Joshi"/>
    <x v="3"/>
    <s v="Power Bank"/>
    <n v="2"/>
    <n v="1499"/>
    <n v="0.05"/>
    <s v="COD"/>
    <x v="0"/>
    <n v="2848.1"/>
    <s v="October"/>
    <s v="Low"/>
    <n v="850"/>
    <n v="1998.1"/>
    <n v="7"/>
    <s v="Sunday"/>
  </r>
  <r>
    <s v="ORD1198"/>
    <d v="2025-10-26T00:00:00"/>
    <d v="2025-11-04T00:00:00"/>
    <x v="3"/>
    <s v="Ahmedabad"/>
    <s v="Neha Joshi"/>
    <x v="2"/>
    <s v="Office Chair"/>
    <n v="1"/>
    <n v="6999"/>
    <n v="0"/>
    <s v="Credit Card"/>
    <x v="0"/>
    <n v="6999"/>
    <s v="October"/>
    <s v="Medium"/>
    <n v="4200"/>
    <n v="2799"/>
    <n v="9"/>
    <s v="Sunday"/>
  </r>
  <r>
    <s v="ORD1199"/>
    <d v="2025-10-27T00:00:00"/>
    <d v="2025-11-05T00:00:00"/>
    <x v="0"/>
    <s v="Bhubaneswar"/>
    <s v="Ananya Sen"/>
    <x v="2"/>
    <s v="Bookshelf"/>
    <n v="1"/>
    <n v="5499"/>
    <n v="0.1"/>
    <s v="Credit Card"/>
    <x v="0"/>
    <n v="4949.1000000000004"/>
    <s v="October"/>
    <s v="Low"/>
    <n v="3300"/>
    <n v="1649.1000000000004"/>
    <n v="9"/>
    <s v="Monday"/>
  </r>
  <r>
    <s v="ORD1200"/>
    <d v="2025-10-28T00:00:00"/>
    <d v="2025-11-01T00:00:00"/>
    <x v="0"/>
    <s v="Kolkata"/>
    <s v="Ananya Sen"/>
    <x v="3"/>
    <s v="Bluetooth Speaker"/>
    <n v="5"/>
    <n v="2499"/>
    <n v="0.15"/>
    <s v="UPI"/>
    <x v="0"/>
    <n v="10620.75"/>
    <s v="October"/>
    <s v="Medium"/>
    <n v="1500"/>
    <n v="9120.75"/>
    <n v="4"/>
    <s v="Tuesday"/>
  </r>
  <r>
    <s v="ORD1201"/>
    <d v="2025-10-29T00:00:00"/>
    <d v="2025-11-05T00:00:00"/>
    <x v="1"/>
    <s v="Bengaluru"/>
    <s v="Karthik Iyer"/>
    <x v="3"/>
    <s v="Headphones"/>
    <n v="2"/>
    <n v="1999"/>
    <n v="0.2"/>
    <s v="UPI"/>
    <x v="0"/>
    <n v="3198.4"/>
    <s v="October"/>
    <s v="Low"/>
    <n v="1100"/>
    <n v="2098.4"/>
    <n v="7"/>
    <s v="Wednesday"/>
  </r>
  <r>
    <s v="ORD1202"/>
    <d v="2025-10-31T00:00:00"/>
    <d v="2025-11-06T00:00:00"/>
    <x v="3"/>
    <s v="Pune"/>
    <s v="Vikram Shah"/>
    <x v="2"/>
    <s v="Bookshelf"/>
    <n v="2"/>
    <n v="5499"/>
    <n v="0.05"/>
    <s v="Credit Card"/>
    <x v="0"/>
    <n v="10448.1"/>
    <s v="October"/>
    <s v="Medium"/>
    <n v="3300"/>
    <n v="7148.1"/>
    <n v="6"/>
    <s v="Friday"/>
  </r>
  <r>
    <s v="ORD1203"/>
    <d v="2025-10-31T00:00:00"/>
    <d v="2025-11-06T00:00:00"/>
    <x v="3"/>
    <s v="Mumbai"/>
    <s v="Vikram Shah"/>
    <x v="0"/>
    <s v="Desk Organizer"/>
    <n v="5"/>
    <n v="599"/>
    <n v="0.1"/>
    <s v="UPI"/>
    <x v="0"/>
    <n v="2695.5"/>
    <s v="October"/>
    <s v="Low"/>
    <n v="320"/>
    <n v="2375.5"/>
    <n v="6"/>
    <s v="Friday"/>
  </r>
  <r>
    <s v="ORD1204"/>
    <d v="2025-11-01T00:00:00"/>
    <d v="2025-11-08T00:00:00"/>
    <x v="1"/>
    <s v="Bengaluru"/>
    <s v="Karthik Iyer"/>
    <x v="0"/>
    <s v="Gel Pen Box"/>
    <n v="9"/>
    <n v="249"/>
    <n v="0.05"/>
    <s v="UPI"/>
    <x v="0"/>
    <n v="2128.9499999999998"/>
    <s v="November"/>
    <s v="Low"/>
    <n v="120"/>
    <n v="2008.9499999999998"/>
    <n v="7"/>
    <s v="Saturday"/>
  </r>
  <r>
    <s v="ORD1205"/>
    <d v="2025-11-02T00:00:00"/>
    <d v="2025-11-10T00:00:00"/>
    <x v="2"/>
    <s v="Delhi"/>
    <s v="Aarav Mehta"/>
    <x v="3"/>
    <s v="Bluetooth Speaker"/>
    <n v="2"/>
    <n v="2499"/>
    <n v="0.05"/>
    <s v="Credit Card"/>
    <x v="0"/>
    <n v="4748.0999999999995"/>
    <s v="November"/>
    <s v="Low"/>
    <n v="1500"/>
    <n v="3248.0999999999995"/>
    <n v="8"/>
    <s v="Sunday"/>
  </r>
  <r>
    <s v="ORD1206"/>
    <d v="2025-11-02T00:00:00"/>
    <d v="2025-11-08T00:00:00"/>
    <x v="0"/>
    <s v="Kolkata"/>
    <s v="Ananya Sen"/>
    <x v="1"/>
    <s v="Cotton T-Shirt"/>
    <n v="5"/>
    <n v="599"/>
    <n v="0.05"/>
    <s v="UPI"/>
    <x v="0"/>
    <n v="2845.25"/>
    <s v="November"/>
    <s v="Low"/>
    <n v="300"/>
    <n v="2545.25"/>
    <n v="6"/>
    <s v="Sunday"/>
  </r>
  <r>
    <s v="ORD1207"/>
    <d v="2025-11-03T00:00:00"/>
    <d v="2025-11-07T00:00:00"/>
    <x v="1"/>
    <s v="Chennai"/>
    <s v="Karthik Iyer"/>
    <x v="0"/>
    <s v="Desk Organizer"/>
    <n v="3"/>
    <n v="599"/>
    <n v="0.1"/>
    <s v="COD"/>
    <x v="0"/>
    <n v="1617.3"/>
    <s v="November"/>
    <s v="Low"/>
    <n v="320"/>
    <n v="1297.3"/>
    <n v="4"/>
    <s v="Monday"/>
  </r>
  <r>
    <s v="ORD1208"/>
    <d v="2025-11-07T00:00:00"/>
    <d v="2025-11-11T00:00:00"/>
    <x v="3"/>
    <s v="Pune"/>
    <s v="Neha Joshi"/>
    <x v="2"/>
    <s v="Study Desk"/>
    <n v="2"/>
    <n v="8499"/>
    <n v="0.1"/>
    <s v="Debit Card"/>
    <x v="0"/>
    <n v="15298.2"/>
    <s v="November"/>
    <s v="High Value"/>
    <n v="5200"/>
    <n v="10098.200000000001"/>
    <n v="4"/>
    <s v="Friday"/>
  </r>
  <r>
    <s v="ORD1209"/>
    <d v="2025-11-07T00:00:00"/>
    <d v="2025-11-16T00:00:00"/>
    <x v="3"/>
    <s v="Ahmedabad"/>
    <s v="Vikram Shah"/>
    <x v="1"/>
    <s v="Cotton T-Shirt"/>
    <n v="3"/>
    <n v="599"/>
    <n v="0.05"/>
    <s v="UPI"/>
    <x v="0"/>
    <n v="1707.1499999999999"/>
    <s v="November"/>
    <s v="Low"/>
    <n v="300"/>
    <n v="1407.1499999999999"/>
    <n v="9"/>
    <s v="Friday"/>
  </r>
  <r>
    <s v="ORD1210"/>
    <d v="2025-11-08T00:00:00"/>
    <d v="2025-11-17T00:00:00"/>
    <x v="1"/>
    <s v="Hyderabad"/>
    <s v="Meera Nair"/>
    <x v="3"/>
    <s v="Wireless Mouse"/>
    <n v="4"/>
    <n v="799"/>
    <n v="0.1"/>
    <s v="Debit Card"/>
    <x v="0"/>
    <n v="2876.4"/>
    <s v="November"/>
    <s v="Low"/>
    <n v="450"/>
    <n v="2426.4"/>
    <n v="9"/>
    <s v="Saturday"/>
  </r>
  <r>
    <s v="ORD1211"/>
    <d v="2025-11-08T00:00:00"/>
    <d v="2025-11-17T00:00:00"/>
    <x v="3"/>
    <s v="Mumbai"/>
    <s v="Vikram Shah"/>
    <x v="3"/>
    <s v="Power Bank"/>
    <n v="3"/>
    <n v="1499"/>
    <n v="0"/>
    <s v="UPI"/>
    <x v="0"/>
    <n v="4497"/>
    <s v="November"/>
    <s v="Low"/>
    <n v="850"/>
    <n v="3647"/>
    <n v="9"/>
    <s v="Saturday"/>
  </r>
  <r>
    <s v="ORD1212"/>
    <d v="2025-11-08T00:00:00"/>
    <d v="2025-11-15T00:00:00"/>
    <x v="2"/>
    <s v="Lucknow"/>
    <s v="Simran Kaur"/>
    <x v="1"/>
    <s v="Cotton T-Shirt"/>
    <n v="7"/>
    <n v="599"/>
    <n v="0.15"/>
    <s v="COD"/>
    <x v="0"/>
    <n v="3564.0499999999997"/>
    <s v="November"/>
    <s v="Low"/>
    <n v="300"/>
    <n v="3264.0499999999997"/>
    <n v="7"/>
    <s v="Saturday"/>
  </r>
  <r>
    <s v="ORD1213"/>
    <d v="2025-11-10T00:00:00"/>
    <d v="2025-11-18T00:00:00"/>
    <x v="2"/>
    <s v="Delhi"/>
    <s v="Aarav Mehta"/>
    <x v="3"/>
    <s v="Wireless Mouse"/>
    <n v="6"/>
    <n v="799"/>
    <n v="0.1"/>
    <s v="Debit Card"/>
    <x v="0"/>
    <n v="4314.6000000000004"/>
    <s v="November"/>
    <s v="Low"/>
    <n v="450"/>
    <n v="3864.6000000000004"/>
    <n v="8"/>
    <s v="Monday"/>
  </r>
  <r>
    <s v="ORD1214"/>
    <d v="2025-11-15T00:00:00"/>
    <d v="2025-11-24T00:00:00"/>
    <x v="1"/>
    <s v="Hyderabad"/>
    <s v="Karthik Iyer"/>
    <x v="1"/>
    <s v="Cotton T-Shirt"/>
    <n v="7"/>
    <n v="599"/>
    <n v="0"/>
    <s v="Credit Card"/>
    <x v="0"/>
    <n v="4193"/>
    <s v="November"/>
    <s v="Low"/>
    <n v="300"/>
    <n v="3893"/>
    <n v="9"/>
    <s v="Saturday"/>
  </r>
  <r>
    <s v="ORD1215"/>
    <d v="2025-11-15T00:00:00"/>
    <d v="2025-11-22T00:00:00"/>
    <x v="3"/>
    <s v="Ahmedabad"/>
    <s v="Vikram Shah"/>
    <x v="3"/>
    <s v="Bluetooth Speaker"/>
    <n v="4"/>
    <n v="2499"/>
    <n v="0"/>
    <s v="UPI"/>
    <x v="0"/>
    <n v="9996"/>
    <s v="November"/>
    <s v="Medium"/>
    <n v="1500"/>
    <n v="8496"/>
    <n v="7"/>
    <s v="Saturday"/>
  </r>
  <r>
    <s v="ORD1216"/>
    <d v="2025-11-15T00:00:00"/>
    <d v="2025-11-22T00:00:00"/>
    <x v="3"/>
    <s v="Ahmedabad"/>
    <s v="Vikram Shah"/>
    <x v="1"/>
    <s v="Denim Jacket"/>
    <n v="4"/>
    <n v="2999"/>
    <n v="0.1"/>
    <s v="UPI"/>
    <x v="0"/>
    <n v="10796.4"/>
    <s v="November"/>
    <s v="Medium"/>
    <n v="1700"/>
    <n v="9096.4"/>
    <n v="7"/>
    <s v="Saturday"/>
  </r>
  <r>
    <s v="ORD1217"/>
    <d v="2025-11-16T00:00:00"/>
    <m/>
    <x v="0"/>
    <s v="Patna"/>
    <s v="Ananya Sen"/>
    <x v="1"/>
    <s v="Cotton T-Shirt"/>
    <n v="6"/>
    <n v="599"/>
    <n v="0"/>
    <s v="UPI"/>
    <x v="1"/>
    <n v="3594"/>
    <s v="November"/>
    <s v="Low"/>
    <n v="300"/>
    <n v="3294"/>
    <s v=""/>
    <s v="Sunday"/>
  </r>
  <r>
    <s v="ORD1218"/>
    <d v="2025-11-16T00:00:00"/>
    <d v="2025-11-25T00:00:00"/>
    <x v="0"/>
    <s v="Patna"/>
    <s v="Ananya Sen"/>
    <x v="0"/>
    <s v="Gel Pen Box"/>
    <n v="13"/>
    <n v="249"/>
    <n v="0"/>
    <s v="UPI"/>
    <x v="0"/>
    <n v="3237"/>
    <s v="November"/>
    <s v="Low"/>
    <n v="120"/>
    <n v="3117"/>
    <n v="9"/>
    <s v="Sunday"/>
  </r>
  <r>
    <s v="ORD1219"/>
    <d v="2025-11-16T00:00:00"/>
    <d v="2025-11-21T00:00:00"/>
    <x v="3"/>
    <s v="Ahmedabad"/>
    <s v="Vikram Shah"/>
    <x v="2"/>
    <s v="Study Desk"/>
    <n v="2"/>
    <n v="8499"/>
    <n v="0.15"/>
    <s v="Credit Card"/>
    <x v="0"/>
    <n v="14448.3"/>
    <s v="November"/>
    <s v="Medium"/>
    <n v="5200"/>
    <n v="9248.2999999999993"/>
    <n v="5"/>
    <s v="Sunday"/>
  </r>
  <r>
    <s v="ORD1220"/>
    <d v="2025-11-16T00:00:00"/>
    <d v="2025-11-18T00:00:00"/>
    <x v="0"/>
    <s v="Kolkata"/>
    <s v="Ananya Sen"/>
    <x v="3"/>
    <s v="Bluetooth Speaker"/>
    <n v="4"/>
    <n v="2499"/>
    <n v="0.2"/>
    <s v="Debit Card"/>
    <x v="0"/>
    <n v="7996.8"/>
    <s v="November"/>
    <s v="Medium"/>
    <n v="1500"/>
    <n v="6496.8"/>
    <n v="2"/>
    <s v="Sunday"/>
  </r>
  <r>
    <s v="ORD1221"/>
    <d v="2025-11-18T00:00:00"/>
    <d v="2025-11-26T00:00:00"/>
    <x v="2"/>
    <s v="Chandigarh"/>
    <s v="Aarav Mehta"/>
    <x v="3"/>
    <s v="Power Bank"/>
    <n v="6"/>
    <n v="1499"/>
    <n v="0.1"/>
    <s v="Net Banking"/>
    <x v="0"/>
    <n v="8094.6"/>
    <s v="November"/>
    <s v="Medium"/>
    <n v="850"/>
    <n v="7244.6"/>
    <n v="8"/>
    <s v="Tuesday"/>
  </r>
  <r>
    <s v="ORD1222"/>
    <d v="2025-11-18T00:00:00"/>
    <d v="2025-11-21T00:00:00"/>
    <x v="2"/>
    <s v="Chandigarh"/>
    <s v="Simran Kaur"/>
    <x v="2"/>
    <s v="Study Desk"/>
    <n v="3"/>
    <n v="8499"/>
    <n v="0"/>
    <s v="COD"/>
    <x v="0"/>
    <n v="25497"/>
    <s v="November"/>
    <s v="High Value"/>
    <n v="5200"/>
    <n v="20297"/>
    <n v="3"/>
    <s v="Tuesday"/>
  </r>
  <r>
    <s v="ORD1223"/>
    <d v="2025-11-18T00:00:00"/>
    <d v="2025-11-23T00:00:00"/>
    <x v="1"/>
    <s v="Hyderabad"/>
    <s v="Meera Nair"/>
    <x v="3"/>
    <s v="Bluetooth Speaker"/>
    <n v="2"/>
    <n v="2499"/>
    <n v="0.15"/>
    <s v="Credit Card"/>
    <x v="0"/>
    <n v="4248.3"/>
    <s v="November"/>
    <s v="Low"/>
    <n v="1500"/>
    <n v="2748.3"/>
    <n v="5"/>
    <s v="Tuesday"/>
  </r>
  <r>
    <s v="ORD1224"/>
    <d v="2025-11-19T00:00:00"/>
    <d v="2025-11-23T00:00:00"/>
    <x v="1"/>
    <s v="Bengaluru"/>
    <s v="Meera Nair"/>
    <x v="0"/>
    <s v="Gel Pen Box"/>
    <n v="6"/>
    <n v="249"/>
    <n v="0"/>
    <s v="Credit Card"/>
    <x v="0"/>
    <n v="1494"/>
    <s v="November"/>
    <s v="Low"/>
    <n v="120"/>
    <n v="1374"/>
    <n v="4"/>
    <s v="Wednesday"/>
  </r>
  <r>
    <s v="ORD1225"/>
    <d v="2025-11-21T00:00:00"/>
    <m/>
    <x v="2"/>
    <s v="Lucknow"/>
    <s v="Aarav Mehta"/>
    <x v="2"/>
    <s v="Bookshelf"/>
    <n v="3"/>
    <n v="5499"/>
    <n v="0.1"/>
    <s v="UPI"/>
    <x v="1"/>
    <n v="14847.300000000001"/>
    <s v="November"/>
    <s v="Medium"/>
    <n v="3300"/>
    <n v="11547.300000000001"/>
    <s v=""/>
    <s v="Friday"/>
  </r>
  <r>
    <s v="ORD1226"/>
    <d v="2025-11-22T00:00:00"/>
    <d v="2025-11-24T00:00:00"/>
    <x v="1"/>
    <s v="Bengaluru"/>
    <s v="Karthik Iyer"/>
    <x v="3"/>
    <s v="Bluetooth Speaker"/>
    <n v="5"/>
    <n v="2499"/>
    <n v="0"/>
    <s v="Credit Card"/>
    <x v="0"/>
    <b v="0"/>
    <s v="November"/>
    <s v="High Value"/>
    <n v="1500"/>
    <n v="-1500"/>
    <n v="2"/>
    <s v="Saturday"/>
  </r>
  <r>
    <s v="ORD1227"/>
    <d v="2025-11-23T00:00:00"/>
    <d v="2025-11-26T00:00:00"/>
    <x v="2"/>
    <s v="Lucknow"/>
    <s v="Aarav Mehta"/>
    <x v="3"/>
    <s v="Headphones"/>
    <n v="6"/>
    <n v="1999"/>
    <n v="0.2"/>
    <s v="UPI"/>
    <x v="0"/>
    <n v="9595.2000000000007"/>
    <s v="November"/>
    <s v="Medium"/>
    <n v="1100"/>
    <n v="8495.2000000000007"/>
    <n v="3"/>
    <s v="Sunday"/>
  </r>
  <r>
    <s v="ORD1228"/>
    <d v="2025-11-25T00:00:00"/>
    <d v="2025-12-04T00:00:00"/>
    <x v="1"/>
    <s v="Chennai"/>
    <s v="Karthik Iyer"/>
    <x v="2"/>
    <s v="Bookshelf"/>
    <n v="2"/>
    <n v="5499"/>
    <n v="0.2"/>
    <s v="UPI"/>
    <x v="0"/>
    <n v="8798.4"/>
    <s v="November"/>
    <s v="Medium"/>
    <n v="3300"/>
    <n v="5498.4"/>
    <n v="9"/>
    <s v="Tuesday"/>
  </r>
  <r>
    <s v="ORD1229"/>
    <d v="2025-11-25T00:00:00"/>
    <d v="2025-12-01T00:00:00"/>
    <x v="1"/>
    <s v="Bengaluru"/>
    <s v="Meera Nair"/>
    <x v="2"/>
    <s v="Study Desk"/>
    <n v="3"/>
    <n v="8499"/>
    <n v="0.1"/>
    <s v="Debit Card"/>
    <x v="0"/>
    <n v="22947.3"/>
    <s v="November"/>
    <s v="High Value"/>
    <n v="5200"/>
    <n v="17747.3"/>
    <n v="6"/>
    <s v="Tuesday"/>
  </r>
  <r>
    <s v="ORD1230"/>
    <d v="2025-11-26T00:00:00"/>
    <d v="2025-11-30T00:00:00"/>
    <x v="0"/>
    <s v="Patna"/>
    <s v="Rohit Das"/>
    <x v="3"/>
    <s v="Power Bank"/>
    <n v="1"/>
    <n v="1499"/>
    <n v="0.05"/>
    <s v="UPI"/>
    <x v="0"/>
    <n v="1424.05"/>
    <s v="November"/>
    <s v="Low"/>
    <n v="850"/>
    <n v="574.04999999999995"/>
    <n v="4"/>
    <s v="Wednesday"/>
  </r>
  <r>
    <s v="ORD1231"/>
    <d v="2025-11-27T00:00:00"/>
    <d v="2025-12-03T00:00:00"/>
    <x v="1"/>
    <s v="Bengaluru"/>
    <s v="Karthik Iyer"/>
    <x v="3"/>
    <s v="Headphones"/>
    <n v="3"/>
    <n v="1999"/>
    <n v="0.1"/>
    <s v="Credit Card"/>
    <x v="0"/>
    <n v="5397.3"/>
    <s v="November"/>
    <s v="Medium"/>
    <n v="1100"/>
    <n v="4297.3"/>
    <n v="6"/>
    <s v="Thursday"/>
  </r>
  <r>
    <s v="ORD1232"/>
    <d v="2025-11-29T00:00:00"/>
    <d v="2025-12-06T00:00:00"/>
    <x v="1"/>
    <s v="Hyderabad"/>
    <s v="Meera Nair"/>
    <x v="1"/>
    <s v="Cotton T-Shirt"/>
    <n v="8"/>
    <n v="599"/>
    <n v="0"/>
    <s v="Credit Card"/>
    <x v="0"/>
    <n v="4792"/>
    <s v="November"/>
    <s v="Low"/>
    <n v="300"/>
    <n v="4492"/>
    <n v="7"/>
    <s v="Saturday"/>
  </r>
  <r>
    <s v="ORD1233"/>
    <d v="2025-11-29T00:00:00"/>
    <d v="2025-12-01T00:00:00"/>
    <x v="1"/>
    <s v="Hyderabad"/>
    <s v="Karthik Iyer"/>
    <x v="1"/>
    <s v="Cotton T-Shirt"/>
    <n v="8"/>
    <n v="599"/>
    <n v="0.1"/>
    <s v="Debit Card"/>
    <x v="0"/>
    <n v="4312.8"/>
    <s v="November"/>
    <s v="Low"/>
    <n v="300"/>
    <n v="4012.8"/>
    <n v="2"/>
    <s v="Saturday"/>
  </r>
  <r>
    <s v="ORD1234"/>
    <d v="2025-12-03T00:00:00"/>
    <d v="2025-12-06T00:00:00"/>
    <x v="1"/>
    <s v="Hyderabad"/>
    <s v="Meera Nair"/>
    <x v="2"/>
    <s v="Bookshelf"/>
    <n v="3"/>
    <n v="5499"/>
    <n v="0.1"/>
    <s v="Credit Card"/>
    <x v="0"/>
    <n v="14847.300000000001"/>
    <s v="December"/>
    <s v="Medium"/>
    <n v="3300"/>
    <n v="11547.300000000001"/>
    <n v="3"/>
    <s v="Wednesday"/>
  </r>
  <r>
    <s v="ORD1235"/>
    <d v="2025-12-03T00:00:00"/>
    <d v="2025-12-08T00:00:00"/>
    <x v="0"/>
    <s v="Patna"/>
    <s v="Ananya Sen"/>
    <x v="1"/>
    <s v="Cotton T-Shirt"/>
    <n v="8"/>
    <n v="599"/>
    <n v="0.05"/>
    <s v="COD"/>
    <x v="0"/>
    <n v="4552.3999999999996"/>
    <s v="December"/>
    <s v="Low"/>
    <n v="300"/>
    <n v="4252.3999999999996"/>
    <n v="5"/>
    <s v="Wednesday"/>
  </r>
  <r>
    <s v="ORD1236"/>
    <d v="2025-12-05T00:00:00"/>
    <d v="2025-12-14T00:00:00"/>
    <x v="1"/>
    <s v="Hyderabad"/>
    <s v="Meera Nair"/>
    <x v="3"/>
    <s v="Power Bank"/>
    <n v="3"/>
    <n v="1499"/>
    <n v="0.15"/>
    <s v="UPI"/>
    <x v="0"/>
    <n v="3822.45"/>
    <s v="December"/>
    <s v="Low"/>
    <n v="850"/>
    <n v="2972.45"/>
    <n v="9"/>
    <s v="Friday"/>
  </r>
  <r>
    <s v="ORD1237"/>
    <d v="2025-12-08T00:00:00"/>
    <d v="2025-12-15T00:00:00"/>
    <x v="1"/>
    <s v="Hyderabad"/>
    <s v="Karthik Iyer"/>
    <x v="0"/>
    <s v="Desk Organizer"/>
    <n v="4"/>
    <n v="599"/>
    <n v="0.15"/>
    <s v="Debit Card"/>
    <x v="0"/>
    <n v="2036.6"/>
    <s v="December"/>
    <s v="Low"/>
    <n v="320"/>
    <n v="1716.6"/>
    <n v="7"/>
    <s v="Monday"/>
  </r>
  <r>
    <s v="ORD1238"/>
    <d v="2025-12-10T00:00:00"/>
    <d v="2025-12-18T00:00:00"/>
    <x v="0"/>
    <s v="Patna"/>
    <s v="Rohit Das"/>
    <x v="3"/>
    <s v="Bluetooth Speaker"/>
    <n v="2"/>
    <n v="2499"/>
    <n v="0.05"/>
    <s v="Credit Card"/>
    <x v="0"/>
    <n v="4748.0999999999995"/>
    <s v="December"/>
    <s v="Low"/>
    <n v="1500"/>
    <n v="3248.0999999999995"/>
    <n v="8"/>
    <s v="Wednesday"/>
  </r>
  <r>
    <s v="ORD1239"/>
    <d v="2025-12-15T00:00:00"/>
    <d v="2025-12-24T00:00:00"/>
    <x v="3"/>
    <s v="Mumbai"/>
    <s v="Vikram Shah"/>
    <x v="1"/>
    <s v="Denim Jacket"/>
    <n v="1"/>
    <n v="2999"/>
    <n v="0.05"/>
    <s v="UPI"/>
    <x v="0"/>
    <n v="2849.0499999999997"/>
    <s v="December"/>
    <s v="Low"/>
    <n v="1700"/>
    <n v="1149.0499999999997"/>
    <n v="9"/>
    <s v="Monday"/>
  </r>
  <r>
    <s v="ORD1240"/>
    <d v="2025-12-16T00:00:00"/>
    <d v="2025-12-24T00:00:00"/>
    <x v="1"/>
    <s v="Hyderabad"/>
    <s v="Meera Nair"/>
    <x v="3"/>
    <s v="Bluetooth Speaker"/>
    <n v="3"/>
    <n v="2499"/>
    <n v="0.05"/>
    <s v="Debit Card"/>
    <x v="0"/>
    <n v="7122.15"/>
    <s v="December"/>
    <s v="Medium"/>
    <n v="1500"/>
    <n v="5622.15"/>
    <n v="8"/>
    <s v="Tuesday"/>
  </r>
  <r>
    <s v="ORD1241"/>
    <d v="2025-12-21T00:00:00"/>
    <d v="2025-12-26T00:00:00"/>
    <x v="3"/>
    <s v="Mumbai"/>
    <s v="Vikram Shah"/>
    <x v="1"/>
    <s v="Cotton T-Shirt"/>
    <n v="6"/>
    <n v="599"/>
    <n v="0.05"/>
    <s v="COD"/>
    <x v="0"/>
    <n v="3414.2999999999997"/>
    <s v="December"/>
    <s v="Low"/>
    <n v="300"/>
    <n v="3114.2999999999997"/>
    <n v="5"/>
    <s v="Sunday"/>
  </r>
  <r>
    <s v="ORD1242"/>
    <d v="2025-12-23T00:00:00"/>
    <d v="2025-12-29T00:00:00"/>
    <x v="2"/>
    <s v="Lucknow"/>
    <s v="Aarav Mehta"/>
    <x v="1"/>
    <s v="Denim Jacket"/>
    <n v="3"/>
    <n v="2999"/>
    <n v="0"/>
    <s v="UPI"/>
    <x v="0"/>
    <n v="8997"/>
    <s v="December"/>
    <s v="Medium"/>
    <n v="1700"/>
    <n v="7297"/>
    <n v="6"/>
    <s v="Tuesday"/>
  </r>
  <r>
    <s v="ORD1243"/>
    <d v="2025-12-24T00:00:00"/>
    <d v="2025-12-30T00:00:00"/>
    <x v="1"/>
    <s v="Chennai"/>
    <s v="Karthik Iyer"/>
    <x v="2"/>
    <s v="Study Desk"/>
    <n v="1"/>
    <n v="8499"/>
    <n v="0.1"/>
    <s v="UPI"/>
    <x v="0"/>
    <n v="7649.1"/>
    <s v="December"/>
    <s v="Medium"/>
    <n v="5200"/>
    <n v="2449.1000000000004"/>
    <n v="6"/>
    <s v="Wednesday"/>
  </r>
  <r>
    <s v="ORD1244"/>
    <d v="2025-12-24T00:00:00"/>
    <d v="2026-01-01T00:00:00"/>
    <x v="1"/>
    <s v="Hyderabad"/>
    <s v="Meera Nair"/>
    <x v="3"/>
    <s v="Power Bank"/>
    <n v="4"/>
    <n v="1499"/>
    <n v="0"/>
    <s v="UPI"/>
    <x v="0"/>
    <n v="5996"/>
    <s v="December"/>
    <s v="Medium"/>
    <n v="850"/>
    <n v="5146"/>
    <n v="8"/>
    <s v="Wednesday"/>
  </r>
  <r>
    <s v="ORD1245"/>
    <d v="2025-12-24T00:00:00"/>
    <d v="2025-12-31T00:00:00"/>
    <x v="3"/>
    <s v="Pune"/>
    <s v="Neha Joshi"/>
    <x v="3"/>
    <s v="Wireless Mouse"/>
    <n v="3"/>
    <n v="799"/>
    <n v="0.15"/>
    <s v="UPI"/>
    <x v="0"/>
    <n v="2037.45"/>
    <s v="December"/>
    <s v="Low"/>
    <n v="450"/>
    <n v="1587.45"/>
    <n v="7"/>
    <s v="Wednesday"/>
  </r>
  <r>
    <s v="ORD1246"/>
    <d v="2025-12-25T00:00:00"/>
    <d v="2025-12-29T00:00:00"/>
    <x v="3"/>
    <s v="Pune"/>
    <s v="Vikram Shah"/>
    <x v="0"/>
    <s v="Gel Pen Box"/>
    <n v="21"/>
    <n v="249"/>
    <n v="0.15"/>
    <s v="Net Banking"/>
    <x v="0"/>
    <n v="4444.6499999999996"/>
    <s v="December"/>
    <s v="Low"/>
    <n v="120"/>
    <n v="4324.6499999999996"/>
    <n v="4"/>
    <s v="Thursday"/>
  </r>
  <r>
    <s v="ORD1247"/>
    <d v="2025-12-29T00:00:00"/>
    <d v="2026-01-04T00:00:00"/>
    <x v="0"/>
    <s v="Kolkata"/>
    <s v="Ananya Sen"/>
    <x v="2"/>
    <s v="Office Chair"/>
    <n v="1"/>
    <n v="6999"/>
    <n v="0"/>
    <s v="Net Banking"/>
    <x v="0"/>
    <n v="6999"/>
    <s v="December"/>
    <s v="Medium"/>
    <n v="4200"/>
    <n v="2799"/>
    <n v="6"/>
    <s v="Monday"/>
  </r>
  <r>
    <s v="ORD1248"/>
    <d v="2025-12-30T00:00:00"/>
    <d v="2026-01-08T00:00:00"/>
    <x v="0"/>
    <s v="Bhubaneswar"/>
    <s v="Ananya Sen"/>
    <x v="3"/>
    <s v="Power Bank"/>
    <n v="1"/>
    <n v="1499"/>
    <n v="0.05"/>
    <s v="COD"/>
    <x v="0"/>
    <n v="1424.05"/>
    <s v="December"/>
    <s v="Low"/>
    <n v="850"/>
    <n v="574.04999999999995"/>
    <n v="9"/>
    <s v="Tuesday"/>
  </r>
  <r>
    <s v="ORD1249"/>
    <d v="2025-12-30T00:00:00"/>
    <d v="2026-01-03T00:00:00"/>
    <x v="0"/>
    <s v="Bhubaneswar"/>
    <s v="Ananya Sen"/>
    <x v="1"/>
    <s v="Denim Jacket"/>
    <n v="1"/>
    <n v="2999"/>
    <n v="0.1"/>
    <s v="COD"/>
    <x v="2"/>
    <n v="2699.1"/>
    <s v="December"/>
    <s v="Low"/>
    <n v="1700"/>
    <n v="999.09999999999991"/>
    <n v="4"/>
    <s v="Tuesday"/>
  </r>
  <r>
    <s v="ORD1250"/>
    <d v="2025-12-30T00:00:00"/>
    <d v="2026-01-02T00:00:00"/>
    <x v="3"/>
    <s v="Pune"/>
    <s v="Neha Joshi"/>
    <x v="1"/>
    <s v="Denim Jacket"/>
    <n v="3"/>
    <n v="2999"/>
    <n v="0"/>
    <s v="UPI"/>
    <x v="0"/>
    <n v="8997"/>
    <s v="December"/>
    <s v="Medium"/>
    <n v="1700"/>
    <n v="7297"/>
    <n v="3"/>
    <s v="Tu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866B8-5EE8-4879-BB36-8BC3F125E7C5}" name="PivotTable20" cacheId="4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7:F13" firstHeaderRow="1" firstDataRow="2" firstDataCol="1"/>
  <pivotFields count="20">
    <pivotField subtotalTop="0" showAll="0" insertBlankRow="1"/>
    <pivotField numFmtId="164" subtotalTop="0" showAll="0" insertBlankRow="1"/>
    <pivotField subtotalTop="0" showAll="0" insertBlankRow="1"/>
    <pivotField axis="axisRow" subtotalTop="0" showAll="0" insertBlankRow="1">
      <items count="5">
        <item x="0"/>
        <item x="2"/>
        <item x="1"/>
        <item x="3"/>
        <item t="default"/>
      </items>
    </pivotField>
    <pivotField subtotalTop="0" showAll="0" insertBlankRow="1"/>
    <pivotField subtotalTop="0" showAll="0" insertBlankRow="1"/>
    <pivotField axis="axisCol" subtotalTop="0" showAll="0" insertBlankRow="1">
      <items count="5">
        <item x="1"/>
        <item x="3"/>
        <item x="2"/>
        <item x="0"/>
        <item t="default"/>
      </items>
    </pivotField>
    <pivotField subtotalTop="0" showAll="0" insertBlankRow="1"/>
    <pivotField subtotalTop="0" showAll="0" insertBlankRow="1"/>
    <pivotField numFmtId="3" subtotalTop="0" showAll="0" insertBlankRow="1"/>
    <pivotField numFmtId="9" subtotalTop="0" showAll="0" insertBlankRow="1"/>
    <pivotField subtotalTop="0" showAll="0" insertBlankRow="1"/>
    <pivotField subtotalTop="0" showAll="0" insertBlankRow="1">
      <items count="4">
        <item x="1"/>
        <item h="1" x="0"/>
        <item x="2"/>
        <item t="default"/>
      </items>
    </pivotField>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3"/>
  </rowFields>
  <rowItems count="5">
    <i>
      <x/>
    </i>
    <i>
      <x v="1"/>
    </i>
    <i>
      <x v="2"/>
    </i>
    <i>
      <x v="3"/>
    </i>
    <i t="grand">
      <x/>
    </i>
  </rowItems>
  <colFields count="1">
    <field x="6"/>
  </colFields>
  <colItems count="5">
    <i>
      <x/>
    </i>
    <i>
      <x v="1"/>
    </i>
    <i>
      <x v="2"/>
    </i>
    <i>
      <x v="3"/>
    </i>
    <i t="grand">
      <x/>
    </i>
  </colItems>
  <dataFields count="1">
    <dataField name="Count of Revenue (₹)  ← add" fld="13"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5" format="8" series="1">
      <pivotArea type="data" outline="0" fieldPosition="0">
        <references count="2">
          <reference field="4294967294" count="1" selected="0">
            <x v="0"/>
          </reference>
          <reference field="6" count="1" selected="0">
            <x v="0"/>
          </reference>
        </references>
      </pivotArea>
    </chartFormat>
    <chartFormat chart="5" format="9" series="1">
      <pivotArea type="data" outline="0" fieldPosition="0">
        <references count="2">
          <reference field="4294967294" count="1" selected="0">
            <x v="0"/>
          </reference>
          <reference field="6" count="1" selected="0">
            <x v="1"/>
          </reference>
        </references>
      </pivotArea>
    </chartFormat>
    <chartFormat chart="5" format="10" series="1">
      <pivotArea type="data" outline="0" fieldPosition="0">
        <references count="2">
          <reference field="4294967294" count="1" selected="0">
            <x v="0"/>
          </reference>
          <reference field="6" count="1" selected="0">
            <x v="2"/>
          </reference>
        </references>
      </pivotArea>
    </chartFormat>
    <chartFormat chart="5"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F2E4112-4CBA-45D0-B221-0B2B3E730DA9}" sourceName="Status">
  <pivotTables>
    <pivotTable tabId="9" name="PivotTable20"/>
  </pivotTables>
  <data>
    <tabular pivotCacheId="1613979958">
      <items count="3">
        <i x="1"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401D49B9-FBF8-4458-8757-76D766FFCBEF}"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323A4-FDC8-4560-9D0C-7D8E5E89F71B}" name="Table1" displayName="Table1" ref="A1:T251" totalsRowShown="0" headerRowDxfId="28" headerRowBorderDxfId="26" tableBorderDxfId="27">
  <autoFilter ref="A1:T251" xr:uid="{B2A323A4-FDC8-4560-9D0C-7D8E5E89F71B}"/>
  <tableColumns count="20">
    <tableColumn id="1" xr3:uid="{BE28A0E8-E7C9-472D-A6D8-5A03F38D93E5}" name="Order ID" dataDxfId="25"/>
    <tableColumn id="2" xr3:uid="{C12D89CF-F915-436A-9AC6-7800DEEFAAE4}" name="Order Date" dataDxfId="24"/>
    <tableColumn id="3" xr3:uid="{3A85BFE9-94A9-4AAC-B25E-793326D490A5}" name="Delivery Date" dataDxfId="23"/>
    <tableColumn id="4" xr3:uid="{33E98684-6A7F-49E6-8F26-CC0A149B6D79}" name="Region" dataDxfId="22"/>
    <tableColumn id="5" xr3:uid="{F16B2E2F-0022-4F67-A0D7-142F69479E41}" name="City" dataDxfId="21"/>
    <tableColumn id="6" xr3:uid="{B4139D60-7316-4AB2-9EEE-D21CDF8DF3E0}" name="Salesperson" dataDxfId="20"/>
    <tableColumn id="7" xr3:uid="{4994231A-60C6-4F09-BAC6-C2EB5E50755C}" name="Category" dataDxfId="19"/>
    <tableColumn id="8" xr3:uid="{AA3AC798-9D79-47F8-AD66-EBE303C66C4D}" name="Product" dataDxfId="18"/>
    <tableColumn id="9" xr3:uid="{C77D94BB-92BF-42C7-A9D3-B373BBF8E963}" name="Quantity" dataDxfId="17"/>
    <tableColumn id="10" xr3:uid="{891D8BF4-BE2F-4149-83B5-3668899F7F96}" name="Unit Price (₹)" dataDxfId="16"/>
    <tableColumn id="11" xr3:uid="{0F96F00E-0FB4-44CB-B0BD-9316F5C33316}" name="Discount %" dataDxfId="15"/>
    <tableColumn id="12" xr3:uid="{5F74AB48-9461-4799-97A8-467C5CD02DB7}" name="Payment Mode" dataDxfId="14"/>
    <tableColumn id="13" xr3:uid="{36EFE8B9-C3FB-4080-9BF6-8EF661092790}" name="Status" dataDxfId="13"/>
    <tableColumn id="14" xr3:uid="{2A941E81-8108-401D-B9FB-0BF139E1DE76}" name="Revenue (₹)  ← add"/>
    <tableColumn id="15" xr3:uid="{B25EAC90-D0C5-4847-89FD-CA3C324BECAB}" name="Month  ← add">
      <calculatedColumnFormula>TEXT(Table1[[#This Row],[Order Date]],"mmmm")</calculatedColumnFormula>
    </tableColumn>
    <tableColumn id="16" xr3:uid="{D8DD47D9-219C-4CE7-B81D-FCC5E6B20B4D}" name="Order Size  ← add">
      <calculatedColumnFormula>IF(Table1[[#This Row],[Revenue (₹)  ← add]]&gt;=15000,"High Value",IF(Table1[[#This Row],[Revenue (₹)  ← add]]&gt;=5000,"Medium","Low"))</calculatedColumnFormula>
    </tableColumn>
    <tableColumn id="17" xr3:uid="{481D0DF1-5602-4C6E-9162-EF8B7EE8EF6A}" name="Cost Price  ← add">
      <calculatedColumnFormula>VLOOKUP(Table1[[#This Row],[Product]],Table2[],4,FALSE)</calculatedColumnFormula>
    </tableColumn>
    <tableColumn id="18" xr3:uid="{64BC7FDF-175E-4CD7-A3A1-0C989DB09236}" name="Profit  ← add"/>
    <tableColumn id="19" xr3:uid="{F4EC37C1-9FB6-4B46-92BD-A254DA789199}" name="Delivery Days  ← add">
      <calculatedColumnFormula>IF(C2="", "",Table1[[#This Row],[Delivery Date]]-Table1[[#This Row],[Order Date]])</calculatedColumnFormula>
    </tableColumn>
    <tableColumn id="22" xr3:uid="{7839FEF0-E222-4F9B-B429-724E01098107}" name="day of week">
      <calculatedColumnFormula>TEXT(Table1[[#This Row],[Order Date]],"DDDD")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CA1C7-4363-49D6-A187-275650FF6D8C}" name="Table2" displayName="Table2" ref="A1:D13" totalsRowShown="0" headerRowDxfId="29" headerRowBorderDxfId="34" tableBorderDxfId="35">
  <autoFilter ref="A1:D13" xr:uid="{147CA1C7-4363-49D6-A187-275650FF6D8C}"/>
  <tableColumns count="4">
    <tableColumn id="1" xr3:uid="{7C1BACF8-88A3-4A31-99E4-2492C5334D7C}" name="Product" dataDxfId="33"/>
    <tableColumn id="2" xr3:uid="{6C884561-F3D2-4DA9-9286-BC6E07D3288C}" name="Category" dataDxfId="32"/>
    <tableColumn id="3" xr3:uid="{D7345120-0883-4041-A543-2937B446FB94}" name="List Price (₹)" dataDxfId="31"/>
    <tableColumn id="4" xr3:uid="{2A875EAC-A325-41A6-95E0-F72F95561A10}" name="Cost Price (₹)"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91B1A9-C250-4587-A4F7-12797D703EBE}" name="Table4" displayName="Table4" ref="A1:C9" totalsRowShown="0" headerRowDxfId="3" headerRowBorderDxfId="5" tableBorderDxfId="6">
  <autoFilter ref="A1:C9" xr:uid="{5891B1A9-C250-4587-A4F7-12797D703EBE}"/>
  <tableColumns count="3">
    <tableColumn id="1" xr3:uid="{63D22B8F-9A13-47D0-8556-C4E1154E17C3}" name="Salesperson" dataDxfId="4"/>
    <tableColumn id="2" xr3:uid="{D4B80BCD-B57C-47D9-9288-83F9035732FE}" name="Region" dataDxfId="2"/>
    <tableColumn id="3" xr3:uid="{929CF2D3-09CE-4B56-809F-CA3750807F09}" name="Annual Target (₹)"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BAAF8D-1BB5-43C5-B337-76540AD278F9}" name="Table3" displayName="Table3" ref="A14:G22" totalsRowShown="0" headerRowDxfId="7" headerRowBorderDxfId="11" tableBorderDxfId="12">
  <autoFilter ref="A14:G22" xr:uid="{6EBAAF8D-1BB5-43C5-B337-76540AD278F9}"/>
  <tableColumns count="7">
    <tableColumn id="1" xr3:uid="{6D3A10B4-064F-4FE0-8368-E0CE3B33831D}" name="Salesperson" dataDxfId="10"/>
    <tableColumn id="2" xr3:uid="{E7A924FB-0D2F-4383-B7E8-7565C4C32231}" name="Region" dataDxfId="9">
      <calculatedColumnFormula>INDEX(Table4[Region],MATCH(A15,$A$2:$A$9,0))</calculatedColumnFormula>
    </tableColumn>
    <tableColumn id="3" xr3:uid="{B3E26BE0-B969-4EBA-8143-993912C39DA4}" name="Target" dataDxfId="8">
      <calculatedColumnFormula>INDEX(Table4[Annual Target (₹)],MATCH(Table3[[#This Row],[Salesperson]],Table4[Salesperson],0))</calculatedColumnFormula>
    </tableColumn>
    <tableColumn id="4" xr3:uid="{86B91525-24CE-4D2B-9F8B-53E67687C64C}" name="Achieved">
      <calculatedColumnFormula array="1">SUMPRODUCT((Table1[Salesperson]=Table3[[#This Row],[Salesperson]])*Table1[Revenue (₹)  ← add])</calculatedColumnFormula>
    </tableColumn>
    <tableColumn id="5" xr3:uid="{5895E7D7-EB63-45BB-B34D-0DF623E8BB8A}" name="Acheivement %" dataCellStyle="Percent">
      <calculatedColumnFormula>D15/C15</calculatedColumnFormula>
    </tableColumn>
    <tableColumn id="6" xr3:uid="{B1CBEC0B-A0F9-4997-838F-878C8B0FFCBF}" name="Band">
      <calculatedColumnFormula>IF(Table3[[#This Row],[Acheivement %]]&gt;=100%,"Target Met",IF(Table3[[#This Row],[Acheivement %]]&gt;=90%,"Close","Below Target"))</calculatedColumnFormula>
    </tableColumn>
    <tableColumn id="7" xr3:uid="{A43B7280-CAF1-4C92-AD5D-451CE2C8F060}" name="Rank">
      <calculatedColumnFormula>RANK(Table3[[#This Row],[Achieved]],Table3[Achieved])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zoomScaleNormal="100" workbookViewId="0"/>
  </sheetViews>
  <sheetFormatPr defaultColWidth="8.6640625" defaultRowHeight="14.4" x14ac:dyDescent="0.3"/>
  <cols>
    <col min="1" max="1" width="130" customWidth="1"/>
  </cols>
  <sheetData>
    <row r="1" spans="1:1" ht="15.6" x14ac:dyDescent="0.3">
      <c r="A1" s="1" t="s">
        <v>0</v>
      </c>
    </row>
    <row r="2" spans="1:1" x14ac:dyDescent="0.3">
      <c r="A2" s="2"/>
    </row>
    <row r="3" spans="1:1" x14ac:dyDescent="0.3">
      <c r="A3" s="2" t="s">
        <v>1</v>
      </c>
    </row>
    <row r="4" spans="1:1" x14ac:dyDescent="0.3">
      <c r="A4" s="2"/>
    </row>
    <row r="5" spans="1:1" x14ac:dyDescent="0.3">
      <c r="A5" s="3" t="s">
        <v>2</v>
      </c>
    </row>
    <row r="6" spans="1:1" x14ac:dyDescent="0.3">
      <c r="A6" s="2" t="s">
        <v>3</v>
      </c>
    </row>
    <row r="7" spans="1:1" x14ac:dyDescent="0.3">
      <c r="A7" s="2" t="s">
        <v>4</v>
      </c>
    </row>
    <row r="8" spans="1:1" x14ac:dyDescent="0.3">
      <c r="A8" s="2" t="s">
        <v>5</v>
      </c>
    </row>
    <row r="9" spans="1:1" x14ac:dyDescent="0.3">
      <c r="A9" s="2" t="s">
        <v>6</v>
      </c>
    </row>
    <row r="10" spans="1:1" x14ac:dyDescent="0.3">
      <c r="A10" s="2"/>
    </row>
    <row r="11" spans="1:1" x14ac:dyDescent="0.3">
      <c r="A11" s="3" t="s">
        <v>7</v>
      </c>
    </row>
    <row r="12" spans="1:1" x14ac:dyDescent="0.3">
      <c r="A12" s="2" t="s">
        <v>8</v>
      </c>
    </row>
    <row r="13" spans="1:1" x14ac:dyDescent="0.3">
      <c r="A13" s="2" t="s">
        <v>9</v>
      </c>
    </row>
    <row r="14" spans="1:1" x14ac:dyDescent="0.3">
      <c r="A14" s="2"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Normal="100" workbookViewId="0">
      <pane ySplit="1" topLeftCell="A15" activePane="bottomLeft" state="frozen"/>
      <selection pane="bottomLeft" activeCell="C26" sqref="C26:F26"/>
    </sheetView>
  </sheetViews>
  <sheetFormatPr defaultColWidth="8.6640625" defaultRowHeight="14.4" x14ac:dyDescent="0.3"/>
  <cols>
    <col min="1" max="1" width="6" customWidth="1"/>
    <col min="2" max="2" width="14" customWidth="1"/>
    <col min="3" max="3" width="20" customWidth="1"/>
    <col min="4" max="4" width="60" customWidth="1"/>
    <col min="5" max="5" width="42" customWidth="1"/>
    <col min="6" max="6" width="34" customWidth="1"/>
  </cols>
  <sheetData>
    <row r="1" spans="1:6" x14ac:dyDescent="0.3">
      <c r="A1" s="4" t="s">
        <v>11</v>
      </c>
      <c r="B1" s="4" t="s">
        <v>12</v>
      </c>
      <c r="C1" s="4" t="s">
        <v>13</v>
      </c>
      <c r="D1" s="4" t="s">
        <v>14</v>
      </c>
      <c r="E1" s="4" t="s">
        <v>15</v>
      </c>
      <c r="F1" s="4" t="s">
        <v>16</v>
      </c>
    </row>
    <row r="2" spans="1:6" ht="26.4" x14ac:dyDescent="0.3">
      <c r="A2" s="5" t="s">
        <v>17</v>
      </c>
      <c r="B2" s="6" t="s">
        <v>18</v>
      </c>
      <c r="C2" s="39" t="s">
        <v>19</v>
      </c>
      <c r="D2" s="39" t="s">
        <v>20</v>
      </c>
      <c r="E2" s="39" t="s">
        <v>21</v>
      </c>
      <c r="F2" s="39" t="s">
        <v>22</v>
      </c>
    </row>
    <row r="3" spans="1:6" x14ac:dyDescent="0.3">
      <c r="A3" s="5" t="s">
        <v>23</v>
      </c>
      <c r="B3" s="6" t="s">
        <v>18</v>
      </c>
      <c r="C3" s="39" t="s">
        <v>24</v>
      </c>
      <c r="D3" s="39" t="s">
        <v>25</v>
      </c>
      <c r="E3" s="39" t="s">
        <v>26</v>
      </c>
      <c r="F3" s="39" t="s">
        <v>27</v>
      </c>
    </row>
    <row r="4" spans="1:6" ht="26.4" x14ac:dyDescent="0.3">
      <c r="A4" s="5" t="s">
        <v>28</v>
      </c>
      <c r="B4" s="6" t="s">
        <v>18</v>
      </c>
      <c r="C4" s="39" t="s">
        <v>29</v>
      </c>
      <c r="D4" s="39" t="s">
        <v>30</v>
      </c>
      <c r="E4" s="39" t="s">
        <v>31</v>
      </c>
      <c r="F4" s="39" t="s">
        <v>32</v>
      </c>
    </row>
    <row r="5" spans="1:6" x14ac:dyDescent="0.3">
      <c r="A5" s="5" t="s">
        <v>33</v>
      </c>
      <c r="B5" s="6" t="s">
        <v>18</v>
      </c>
      <c r="C5" s="39" t="s">
        <v>34</v>
      </c>
      <c r="D5" s="39" t="s">
        <v>35</v>
      </c>
      <c r="E5" s="39" t="s">
        <v>36</v>
      </c>
      <c r="F5" s="39" t="s">
        <v>37</v>
      </c>
    </row>
    <row r="6" spans="1:6" ht="26.4" x14ac:dyDescent="0.3">
      <c r="A6" s="5" t="s">
        <v>38</v>
      </c>
      <c r="B6" s="6" t="s">
        <v>18</v>
      </c>
      <c r="C6" s="39" t="s">
        <v>39</v>
      </c>
      <c r="D6" s="39" t="s">
        <v>40</v>
      </c>
      <c r="E6" s="39" t="s">
        <v>41</v>
      </c>
      <c r="F6" s="39" t="s">
        <v>42</v>
      </c>
    </row>
    <row r="7" spans="1:6" ht="26.4" x14ac:dyDescent="0.3">
      <c r="A7" s="5" t="s">
        <v>43</v>
      </c>
      <c r="B7" s="6" t="s">
        <v>18</v>
      </c>
      <c r="C7" s="39" t="s">
        <v>44</v>
      </c>
      <c r="D7" s="39" t="s">
        <v>45</v>
      </c>
      <c r="E7" s="39" t="s">
        <v>46</v>
      </c>
      <c r="F7" s="39" t="s">
        <v>47</v>
      </c>
    </row>
    <row r="8" spans="1:6" ht="26.4" x14ac:dyDescent="0.3">
      <c r="A8" s="5" t="s">
        <v>48</v>
      </c>
      <c r="B8" s="6" t="s">
        <v>18</v>
      </c>
      <c r="C8" s="39" t="s">
        <v>49</v>
      </c>
      <c r="D8" s="39" t="s">
        <v>50</v>
      </c>
      <c r="E8" s="39" t="s">
        <v>51</v>
      </c>
      <c r="F8" s="39" t="s">
        <v>52</v>
      </c>
    </row>
    <row r="9" spans="1:6" x14ac:dyDescent="0.3">
      <c r="A9" s="5" t="s">
        <v>53</v>
      </c>
      <c r="B9" s="7" t="s">
        <v>54</v>
      </c>
      <c r="C9" s="39" t="s">
        <v>55</v>
      </c>
      <c r="D9" s="39" t="s">
        <v>56</v>
      </c>
      <c r="E9" s="39" t="s">
        <v>57</v>
      </c>
      <c r="F9" s="39" t="s">
        <v>58</v>
      </c>
    </row>
    <row r="10" spans="1:6" x14ac:dyDescent="0.3">
      <c r="A10" s="5" t="s">
        <v>59</v>
      </c>
      <c r="B10" s="7" t="s">
        <v>54</v>
      </c>
      <c r="C10" s="39" t="s">
        <v>60</v>
      </c>
      <c r="D10" s="39" t="s">
        <v>61</v>
      </c>
      <c r="E10" s="39" t="s">
        <v>62</v>
      </c>
      <c r="F10" s="39" t="s">
        <v>63</v>
      </c>
    </row>
    <row r="11" spans="1:6" x14ac:dyDescent="0.3">
      <c r="A11" s="5" t="s">
        <v>64</v>
      </c>
      <c r="B11" s="7" t="s">
        <v>54</v>
      </c>
      <c r="C11" s="39" t="s">
        <v>65</v>
      </c>
      <c r="D11" s="39" t="s">
        <v>66</v>
      </c>
      <c r="E11" s="39" t="s">
        <v>67</v>
      </c>
      <c r="F11" s="39" t="s">
        <v>68</v>
      </c>
    </row>
    <row r="12" spans="1:6" ht="39.6" x14ac:dyDescent="0.3">
      <c r="A12" s="5" t="s">
        <v>69</v>
      </c>
      <c r="B12" s="7" t="s">
        <v>54</v>
      </c>
      <c r="C12" s="39" t="s">
        <v>70</v>
      </c>
      <c r="D12" s="39" t="s">
        <v>71</v>
      </c>
      <c r="E12" s="39" t="s">
        <v>72</v>
      </c>
      <c r="F12" s="39" t="s">
        <v>73</v>
      </c>
    </row>
    <row r="13" spans="1:6" x14ac:dyDescent="0.3">
      <c r="A13" s="5" t="s">
        <v>74</v>
      </c>
      <c r="B13" s="7" t="s">
        <v>54</v>
      </c>
      <c r="C13" s="39" t="s">
        <v>75</v>
      </c>
      <c r="D13" s="39" t="s">
        <v>76</v>
      </c>
      <c r="E13" s="39" t="s">
        <v>77</v>
      </c>
      <c r="F13" s="39" t="s">
        <v>78</v>
      </c>
    </row>
    <row r="14" spans="1:6" ht="26.4" x14ac:dyDescent="0.3">
      <c r="A14" s="5" t="s">
        <v>79</v>
      </c>
      <c r="B14" s="7" t="s">
        <v>54</v>
      </c>
      <c r="C14" s="39" t="s">
        <v>80</v>
      </c>
      <c r="D14" s="39" t="s">
        <v>81</v>
      </c>
      <c r="E14" s="39" t="s">
        <v>82</v>
      </c>
      <c r="F14" s="39" t="s">
        <v>83</v>
      </c>
    </row>
    <row r="15" spans="1:6" ht="26.4" x14ac:dyDescent="0.3">
      <c r="A15" s="5" t="s">
        <v>84</v>
      </c>
      <c r="B15" s="7" t="s">
        <v>54</v>
      </c>
      <c r="C15" s="39" t="s">
        <v>85</v>
      </c>
      <c r="D15" s="39" t="s">
        <v>86</v>
      </c>
      <c r="E15" s="39" t="s">
        <v>87</v>
      </c>
      <c r="F15" s="39" t="s">
        <v>88</v>
      </c>
    </row>
    <row r="16" spans="1:6" ht="26.4" x14ac:dyDescent="0.3">
      <c r="A16" s="5" t="s">
        <v>89</v>
      </c>
      <c r="B16" s="7" t="s">
        <v>54</v>
      </c>
      <c r="C16" s="39" t="s">
        <v>90</v>
      </c>
      <c r="D16" s="39" t="s">
        <v>91</v>
      </c>
      <c r="E16" s="39" t="s">
        <v>92</v>
      </c>
      <c r="F16" s="39" t="s">
        <v>93</v>
      </c>
    </row>
    <row r="17" spans="1:6" ht="39.6" x14ac:dyDescent="0.3">
      <c r="A17" s="5" t="s">
        <v>94</v>
      </c>
      <c r="B17" s="7" t="s">
        <v>54</v>
      </c>
      <c r="C17" s="39" t="s">
        <v>95</v>
      </c>
      <c r="D17" s="39" t="s">
        <v>96</v>
      </c>
      <c r="E17" s="39" t="s">
        <v>97</v>
      </c>
      <c r="F17" s="39" t="s">
        <v>98</v>
      </c>
    </row>
    <row r="18" spans="1:6" x14ac:dyDescent="0.3">
      <c r="A18" s="5" t="s">
        <v>99</v>
      </c>
      <c r="B18" s="7" t="s">
        <v>54</v>
      </c>
      <c r="C18" s="39" t="s">
        <v>100</v>
      </c>
      <c r="D18" s="39" t="s">
        <v>101</v>
      </c>
      <c r="E18" s="39" t="s">
        <v>67</v>
      </c>
      <c r="F18" s="39" t="s">
        <v>102</v>
      </c>
    </row>
    <row r="19" spans="1:6" ht="26.4" x14ac:dyDescent="0.3">
      <c r="A19" s="5" t="s">
        <v>103</v>
      </c>
      <c r="B19" s="8" t="s">
        <v>104</v>
      </c>
      <c r="C19" s="39" t="s">
        <v>105</v>
      </c>
      <c r="D19" s="39" t="s">
        <v>106</v>
      </c>
      <c r="E19" s="39" t="s">
        <v>107</v>
      </c>
      <c r="F19" s="39" t="s">
        <v>108</v>
      </c>
    </row>
    <row r="20" spans="1:6" ht="26.4" x14ac:dyDescent="0.3">
      <c r="A20" s="5" t="s">
        <v>109</v>
      </c>
      <c r="B20" s="8" t="s">
        <v>104</v>
      </c>
      <c r="C20" s="39" t="s">
        <v>110</v>
      </c>
      <c r="D20" s="39" t="s">
        <v>111</v>
      </c>
      <c r="E20" s="39" t="s">
        <v>112</v>
      </c>
      <c r="F20" s="39" t="s">
        <v>113</v>
      </c>
    </row>
    <row r="21" spans="1:6" x14ac:dyDescent="0.3">
      <c r="A21" s="5" t="s">
        <v>114</v>
      </c>
      <c r="B21" s="8" t="s">
        <v>104</v>
      </c>
      <c r="C21" s="39" t="s">
        <v>115</v>
      </c>
      <c r="D21" s="39" t="s">
        <v>116</v>
      </c>
      <c r="E21" s="39" t="s">
        <v>117</v>
      </c>
      <c r="F21" s="39" t="s">
        <v>118</v>
      </c>
    </row>
    <row r="22" spans="1:6" x14ac:dyDescent="0.3">
      <c r="A22" s="5" t="s">
        <v>119</v>
      </c>
      <c r="B22" s="8" t="s">
        <v>104</v>
      </c>
      <c r="C22" s="39" t="s">
        <v>120</v>
      </c>
      <c r="D22" s="39" t="s">
        <v>121</v>
      </c>
      <c r="E22" s="39" t="s">
        <v>122</v>
      </c>
      <c r="F22" s="39" t="s">
        <v>123</v>
      </c>
    </row>
    <row r="23" spans="1:6" ht="26.4" x14ac:dyDescent="0.3">
      <c r="A23" s="5" t="s">
        <v>124</v>
      </c>
      <c r="B23" s="8" t="s">
        <v>104</v>
      </c>
      <c r="C23" s="39" t="s">
        <v>125</v>
      </c>
      <c r="D23" s="39" t="s">
        <v>126</v>
      </c>
      <c r="E23" s="39" t="s">
        <v>127</v>
      </c>
      <c r="F23" s="39" t="s">
        <v>58</v>
      </c>
    </row>
    <row r="24" spans="1:6" ht="39.6" x14ac:dyDescent="0.3">
      <c r="A24" s="5" t="s">
        <v>128</v>
      </c>
      <c r="B24" s="8" t="s">
        <v>104</v>
      </c>
      <c r="C24" s="39" t="s">
        <v>129</v>
      </c>
      <c r="D24" s="39" t="s">
        <v>130</v>
      </c>
      <c r="E24" s="39" t="s">
        <v>131</v>
      </c>
      <c r="F24" s="39" t="s">
        <v>132</v>
      </c>
    </row>
    <row r="25" spans="1:6" ht="26.4" x14ac:dyDescent="0.3">
      <c r="A25" s="5" t="s">
        <v>133</v>
      </c>
      <c r="B25" s="8" t="s">
        <v>104</v>
      </c>
      <c r="C25" s="39" t="s">
        <v>134</v>
      </c>
      <c r="D25" s="39" t="s">
        <v>135</v>
      </c>
      <c r="E25" s="39" t="s">
        <v>136</v>
      </c>
      <c r="F25" s="39" t="s">
        <v>137</v>
      </c>
    </row>
    <row r="26" spans="1:6" ht="26.4" x14ac:dyDescent="0.3">
      <c r="A26" s="5" t="s">
        <v>138</v>
      </c>
      <c r="B26" s="8" t="s">
        <v>104</v>
      </c>
      <c r="C26" s="5" t="s">
        <v>139</v>
      </c>
      <c r="D26" s="5" t="s">
        <v>140</v>
      </c>
      <c r="E26" s="5" t="s">
        <v>141</v>
      </c>
      <c r="F26" s="5" t="s">
        <v>142</v>
      </c>
    </row>
    <row r="27" spans="1:6" x14ac:dyDescent="0.3">
      <c r="A27" s="5" t="s">
        <v>143</v>
      </c>
      <c r="B27" s="9" t="s">
        <v>144</v>
      </c>
      <c r="C27" s="39" t="s">
        <v>145</v>
      </c>
      <c r="D27" s="39" t="s">
        <v>146</v>
      </c>
      <c r="E27" s="39" t="s">
        <v>147</v>
      </c>
      <c r="F27" s="39" t="s">
        <v>148</v>
      </c>
    </row>
    <row r="28" spans="1:6" x14ac:dyDescent="0.3">
      <c r="A28" s="5" t="s">
        <v>149</v>
      </c>
      <c r="B28" s="9" t="s">
        <v>144</v>
      </c>
      <c r="C28" s="39" t="s">
        <v>150</v>
      </c>
      <c r="D28" s="39" t="s">
        <v>151</v>
      </c>
      <c r="E28" s="39" t="s">
        <v>152</v>
      </c>
      <c r="F28" s="39" t="s">
        <v>153</v>
      </c>
    </row>
    <row r="29" spans="1:6" x14ac:dyDescent="0.3">
      <c r="A29" s="5" t="s">
        <v>154</v>
      </c>
      <c r="B29" s="9" t="s">
        <v>144</v>
      </c>
      <c r="C29" s="39" t="s">
        <v>155</v>
      </c>
      <c r="D29" s="39" t="s">
        <v>156</v>
      </c>
      <c r="E29" s="39" t="s">
        <v>157</v>
      </c>
      <c r="F29" s="39" t="s">
        <v>158</v>
      </c>
    </row>
    <row r="30" spans="1:6" ht="26.4" x14ac:dyDescent="0.3">
      <c r="A30" s="5" t="s">
        <v>159</v>
      </c>
      <c r="B30" s="9" t="s">
        <v>144</v>
      </c>
      <c r="C30" s="39" t="s">
        <v>160</v>
      </c>
      <c r="D30" s="39" t="s">
        <v>161</v>
      </c>
      <c r="E30" s="39" t="s">
        <v>162</v>
      </c>
      <c r="F30" s="39" t="s">
        <v>163</v>
      </c>
    </row>
    <row r="31" spans="1:6" ht="26.4" x14ac:dyDescent="0.3">
      <c r="A31" s="5" t="s">
        <v>164</v>
      </c>
      <c r="B31" s="9" t="s">
        <v>144</v>
      </c>
      <c r="C31" s="39" t="s">
        <v>165</v>
      </c>
      <c r="D31" s="39" t="s">
        <v>166</v>
      </c>
      <c r="E31" s="39" t="s">
        <v>167</v>
      </c>
      <c r="F31" s="39" t="s">
        <v>168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51"/>
  <sheetViews>
    <sheetView zoomScaleNormal="100" workbookViewId="0">
      <pane xSplit="1" ySplit="1" topLeftCell="B213" activePane="bottomRight" state="frozen"/>
      <selection pane="topRight" activeCell="B1" sqref="B1"/>
      <selection pane="bottomLeft" activeCell="A2" sqref="A2"/>
      <selection pane="bottomRight" activeCell="N227" sqref="N227"/>
    </sheetView>
  </sheetViews>
  <sheetFormatPr defaultColWidth="8.6640625" defaultRowHeight="14.4" x14ac:dyDescent="0.3"/>
  <cols>
    <col min="1" max="1" width="11" customWidth="1"/>
    <col min="2" max="2" width="13" customWidth="1"/>
    <col min="3" max="3" width="14.44140625" customWidth="1"/>
    <col min="4" max="4" width="9" customWidth="1"/>
    <col min="5" max="5" width="13" customWidth="1"/>
    <col min="6" max="6" width="14" customWidth="1"/>
    <col min="7" max="7" width="12" customWidth="1"/>
    <col min="8" max="8" width="18" customWidth="1"/>
    <col min="9" max="9" width="10.33203125" customWidth="1"/>
    <col min="10" max="10" width="14.33203125" customWidth="1"/>
    <col min="11" max="11" width="13" customWidth="1"/>
    <col min="12" max="12" width="15.6640625" customWidth="1"/>
    <col min="13" max="13" width="11" customWidth="1"/>
    <col min="14" max="14" width="22.88671875" customWidth="1"/>
    <col min="15" max="15" width="15.109375" customWidth="1"/>
    <col min="16" max="16" width="19" customWidth="1"/>
    <col min="17" max="17" width="18.77734375" customWidth="1"/>
    <col min="18" max="18" width="14.44140625" customWidth="1"/>
    <col min="19" max="20" width="21.5546875" customWidth="1"/>
    <col min="22" max="22" width="39.44140625" bestFit="1" customWidth="1"/>
    <col min="23" max="23" width="11" bestFit="1" customWidth="1"/>
  </cols>
  <sheetData>
    <row r="1" spans="1:23" ht="31.5" customHeight="1" x14ac:dyDescent="0.3">
      <c r="A1" s="32" t="s">
        <v>169</v>
      </c>
      <c r="B1" s="32" t="s">
        <v>170</v>
      </c>
      <c r="C1" s="32" t="s">
        <v>171</v>
      </c>
      <c r="D1" s="32" t="s">
        <v>172</v>
      </c>
      <c r="E1" s="32" t="s">
        <v>173</v>
      </c>
      <c r="F1" s="32" t="s">
        <v>174</v>
      </c>
      <c r="G1" s="32" t="s">
        <v>175</v>
      </c>
      <c r="H1" s="32" t="s">
        <v>176</v>
      </c>
      <c r="I1" s="32" t="s">
        <v>177</v>
      </c>
      <c r="J1" s="32" t="s">
        <v>178</v>
      </c>
      <c r="K1" s="32" t="s">
        <v>179</v>
      </c>
      <c r="L1" s="32" t="s">
        <v>180</v>
      </c>
      <c r="M1" s="32" t="s">
        <v>181</v>
      </c>
      <c r="N1" s="33" t="s">
        <v>182</v>
      </c>
      <c r="O1" s="33" t="s">
        <v>183</v>
      </c>
      <c r="P1" s="33" t="s">
        <v>184</v>
      </c>
      <c r="Q1" s="33" t="s">
        <v>185</v>
      </c>
      <c r="R1" s="33" t="s">
        <v>186</v>
      </c>
      <c r="S1" s="33" t="s">
        <v>187</v>
      </c>
      <c r="T1" s="33" t="s">
        <v>654</v>
      </c>
    </row>
    <row r="2" spans="1:23" x14ac:dyDescent="0.3">
      <c r="A2" s="2" t="s">
        <v>188</v>
      </c>
      <c r="B2" s="10">
        <v>45659</v>
      </c>
      <c r="C2" s="10">
        <v>45664</v>
      </c>
      <c r="D2" s="2" t="s">
        <v>189</v>
      </c>
      <c r="E2" s="2" t="s">
        <v>190</v>
      </c>
      <c r="F2" s="2" t="s">
        <v>191</v>
      </c>
      <c r="G2" s="2" t="s">
        <v>192</v>
      </c>
      <c r="H2" s="2" t="s">
        <v>193</v>
      </c>
      <c r="I2" s="2">
        <v>8</v>
      </c>
      <c r="J2" s="11">
        <v>249</v>
      </c>
      <c r="K2" s="12">
        <v>0.1</v>
      </c>
      <c r="L2" s="2" t="s">
        <v>194</v>
      </c>
      <c r="M2" s="2" t="s">
        <v>195</v>
      </c>
      <c r="N2">
        <f>Table1[[#This Row],[Quantity]]*Table1[[#This Row],[Unit Price (₹)]]*(1-Table1[[#This Row],[Discount %]])</f>
        <v>1792.8</v>
      </c>
      <c r="O2" t="str">
        <f>TEXT(Table1[[#This Row],[Order Date]],"mmmm")</f>
        <v>January</v>
      </c>
      <c r="P2" t="str">
        <f>IF(Table1[[#This Row],[Revenue (₹)  ← add]]&gt;=15000,"High Value",IF(Table1[[#This Row],[Revenue (₹)  ← add]]&gt;=5000,"Medium","Low"))</f>
        <v>Low</v>
      </c>
      <c r="Q2">
        <f>VLOOKUP(Table1[[#This Row],[Product]],Table2[],4,FALSE)</f>
        <v>120</v>
      </c>
      <c r="R2">
        <f>Table1[[#This Row],[Revenue (₹)  ← add]]-Table1[[#This Row],[Cost Price  ← add]]</f>
        <v>1672.8</v>
      </c>
      <c r="S2">
        <f>IF(C2="", "",Table1[[#This Row],[Delivery Date]]-Table1[[#This Row],[Order Date]])</f>
        <v>5</v>
      </c>
      <c r="T2" t="str">
        <f>TEXT(Table1[[#This Row],[Order Date]],"DDDD")</f>
        <v>Thursday</v>
      </c>
    </row>
    <row r="3" spans="1:23" x14ac:dyDescent="0.3">
      <c r="A3" s="2" t="s">
        <v>196</v>
      </c>
      <c r="B3" s="10">
        <v>45664</v>
      </c>
      <c r="C3" s="10">
        <v>45671</v>
      </c>
      <c r="D3" s="2" t="s">
        <v>189</v>
      </c>
      <c r="E3" s="2" t="s">
        <v>197</v>
      </c>
      <c r="F3" s="2" t="s">
        <v>191</v>
      </c>
      <c r="G3" s="2" t="s">
        <v>198</v>
      </c>
      <c r="H3" s="2" t="s">
        <v>199</v>
      </c>
      <c r="I3" s="2">
        <v>4</v>
      </c>
      <c r="J3" s="11">
        <v>2999</v>
      </c>
      <c r="K3" s="12">
        <v>0</v>
      </c>
      <c r="L3" s="2" t="s">
        <v>194</v>
      </c>
      <c r="M3" s="2" t="s">
        <v>195</v>
      </c>
      <c r="N3">
        <f>Table1[[#This Row],[Quantity]]*Table1[[#This Row],[Unit Price (₹)]]*(1-Table1[[#This Row],[Discount %]])</f>
        <v>11996</v>
      </c>
      <c r="O3" t="str">
        <f>TEXT(Table1[[#This Row],[Order Date]],"mmmm")</f>
        <v>January</v>
      </c>
      <c r="P3" t="str">
        <f>IF(Table1[[#This Row],[Revenue (₹)  ← add]]&gt;=15000,"High Value",IF(Table1[[#This Row],[Revenue (₹)  ← add]]&gt;=5000,"Medium","Low"))</f>
        <v>Medium</v>
      </c>
      <c r="Q3">
        <f>VLOOKUP(Table1[[#This Row],[Product]],Table2[],4,FALSE)</f>
        <v>1700</v>
      </c>
      <c r="R3">
        <f>Table1[[#This Row],[Revenue (₹)  ← add]]-Table1[[#This Row],[Cost Price  ← add]]</f>
        <v>10296</v>
      </c>
      <c r="S3">
        <f>IF(C3="", "",Table1[[#This Row],[Delivery Date]]-Table1[[#This Row],[Order Date]])</f>
        <v>7</v>
      </c>
      <c r="T3" t="str">
        <f>TEXT(Table1[[#This Row],[Order Date]],"DDDD")</f>
        <v>Tuesday</v>
      </c>
    </row>
    <row r="4" spans="1:23" x14ac:dyDescent="0.3">
      <c r="A4" s="2" t="s">
        <v>200</v>
      </c>
      <c r="B4" s="10">
        <v>45665</v>
      </c>
      <c r="C4" s="10">
        <v>45668</v>
      </c>
      <c r="D4" s="2" t="s">
        <v>189</v>
      </c>
      <c r="E4" s="2" t="s">
        <v>197</v>
      </c>
      <c r="F4" s="2" t="s">
        <v>191</v>
      </c>
      <c r="G4" s="2" t="s">
        <v>201</v>
      </c>
      <c r="H4" s="2" t="s">
        <v>202</v>
      </c>
      <c r="I4" s="2">
        <v>2</v>
      </c>
      <c r="J4" s="11">
        <v>8499</v>
      </c>
      <c r="K4" s="12">
        <v>0.05</v>
      </c>
      <c r="L4" s="2" t="s">
        <v>203</v>
      </c>
      <c r="M4" s="2" t="s">
        <v>195</v>
      </c>
      <c r="N4">
        <f>Table1[[#This Row],[Quantity]]*Table1[[#This Row],[Unit Price (₹)]]*(1-Table1[[#This Row],[Discount %]])</f>
        <v>16148.099999999999</v>
      </c>
      <c r="O4" t="str">
        <f>TEXT(Table1[[#This Row],[Order Date]],"mmmm")</f>
        <v>January</v>
      </c>
      <c r="P4" t="str">
        <f>IF(Table1[[#This Row],[Revenue (₹)  ← add]]&gt;=15000,"High Value",IF(Table1[[#This Row],[Revenue (₹)  ← add]]&gt;=5000,"Medium","Low"))</f>
        <v>High Value</v>
      </c>
      <c r="Q4">
        <f>VLOOKUP(Table1[[#This Row],[Product]],Table2[],4,FALSE)</f>
        <v>5200</v>
      </c>
      <c r="R4">
        <f>Table1[[#This Row],[Revenue (₹)  ← add]]-Table1[[#This Row],[Cost Price  ← add]]</f>
        <v>10948.099999999999</v>
      </c>
      <c r="S4">
        <f>IF(C4="", "",Table1[[#This Row],[Delivery Date]]-Table1[[#This Row],[Order Date]])</f>
        <v>3</v>
      </c>
      <c r="T4" t="str">
        <f>TEXT(Table1[[#This Row],[Order Date]],"DDDD")</f>
        <v>Wednesday</v>
      </c>
      <c r="V4" s="35" t="s">
        <v>528</v>
      </c>
      <c r="W4">
        <f>COUNTA(Table1[Order ID])</f>
        <v>250</v>
      </c>
    </row>
    <row r="5" spans="1:23" x14ac:dyDescent="0.3">
      <c r="A5" s="2" t="s">
        <v>204</v>
      </c>
      <c r="B5" s="10">
        <v>45668</v>
      </c>
      <c r="C5" s="10">
        <v>45677</v>
      </c>
      <c r="D5" s="2" t="s">
        <v>205</v>
      </c>
      <c r="E5" s="2" t="s">
        <v>206</v>
      </c>
      <c r="F5" s="2" t="s">
        <v>207</v>
      </c>
      <c r="G5" s="2" t="s">
        <v>198</v>
      </c>
      <c r="H5" s="2" t="s">
        <v>208</v>
      </c>
      <c r="I5" s="2">
        <v>5</v>
      </c>
      <c r="J5" s="11">
        <v>599</v>
      </c>
      <c r="K5" s="12">
        <v>0</v>
      </c>
      <c r="L5" s="2" t="s">
        <v>194</v>
      </c>
      <c r="M5" s="2" t="s">
        <v>195</v>
      </c>
      <c r="N5">
        <f>Table1[[#This Row],[Quantity]]*Table1[[#This Row],[Unit Price (₹)]]*(1-Table1[[#This Row],[Discount %]])</f>
        <v>2995</v>
      </c>
      <c r="O5" t="str">
        <f>TEXT(Table1[[#This Row],[Order Date]],"mmmm")</f>
        <v>January</v>
      </c>
      <c r="P5" t="str">
        <f>IF(Table1[[#This Row],[Revenue (₹)  ← add]]&gt;=15000,"High Value",IF(Table1[[#This Row],[Revenue (₹)  ← add]]&gt;=5000,"Medium","Low"))</f>
        <v>Low</v>
      </c>
      <c r="Q5">
        <f>VLOOKUP(Table1[[#This Row],[Product]],Table2[],4,FALSE)</f>
        <v>300</v>
      </c>
      <c r="R5">
        <f>Table1[[#This Row],[Revenue (₹)  ← add]]-Table1[[#This Row],[Cost Price  ← add]]</f>
        <v>2695</v>
      </c>
      <c r="S5">
        <f>IF(C5="", "",Table1[[#This Row],[Delivery Date]]-Table1[[#This Row],[Order Date]])</f>
        <v>9</v>
      </c>
      <c r="T5" t="str">
        <f>TEXT(Table1[[#This Row],[Order Date]],"DDDD")</f>
        <v>Saturday</v>
      </c>
      <c r="V5" s="35" t="s">
        <v>642</v>
      </c>
      <c r="W5">
        <f>SUM(Table1[Quantity])</f>
        <v>1357</v>
      </c>
    </row>
    <row r="6" spans="1:23" x14ac:dyDescent="0.3">
      <c r="A6" s="2" t="s">
        <v>209</v>
      </c>
      <c r="B6" s="10">
        <v>45668</v>
      </c>
      <c r="C6" s="10">
        <v>45673</v>
      </c>
      <c r="D6" s="2" t="s">
        <v>205</v>
      </c>
      <c r="E6" s="2" t="s">
        <v>210</v>
      </c>
      <c r="F6" s="2" t="s">
        <v>211</v>
      </c>
      <c r="G6" s="2" t="s">
        <v>192</v>
      </c>
      <c r="H6" s="2" t="s">
        <v>193</v>
      </c>
      <c r="I6" s="2">
        <v>8</v>
      </c>
      <c r="J6" s="11">
        <v>249</v>
      </c>
      <c r="K6" s="12">
        <v>0.1</v>
      </c>
      <c r="L6" s="2" t="s">
        <v>194</v>
      </c>
      <c r="M6" s="2" t="s">
        <v>195</v>
      </c>
      <c r="N6">
        <f>Table1[[#This Row],[Quantity]]*Table1[[#This Row],[Unit Price (₹)]]*(1-Table1[[#This Row],[Discount %]])</f>
        <v>1792.8</v>
      </c>
      <c r="O6" t="str">
        <f>TEXT(Table1[[#This Row],[Order Date]],"mmmm")</f>
        <v>January</v>
      </c>
      <c r="P6" t="str">
        <f>IF(Table1[[#This Row],[Revenue (₹)  ← add]]&gt;=15000,"High Value",IF(Table1[[#This Row],[Revenue (₹)  ← add]]&gt;=5000,"Medium","Low"))</f>
        <v>Low</v>
      </c>
      <c r="Q6">
        <f>INDEX(Table2[Cost Price (₹)],MATCH(H5,Table2[Product],0))</f>
        <v>300</v>
      </c>
      <c r="R6">
        <f>Table1[[#This Row],[Revenue (₹)  ← add]]-Table1[[#This Row],[Cost Price  ← add]]</f>
        <v>1492.8</v>
      </c>
      <c r="S6">
        <f>IF(C6="", "",Table1[[#This Row],[Delivery Date]]-Table1[[#This Row],[Order Date]])</f>
        <v>5</v>
      </c>
      <c r="T6" t="str">
        <f>TEXT(Table1[[#This Row],[Order Date]],"DDDD")</f>
        <v>Saturday</v>
      </c>
      <c r="V6" s="35" t="s">
        <v>643</v>
      </c>
      <c r="W6">
        <f>AVERAGE(Table1[Revenue (₹)  ← add])</f>
        <v>6993.1882000000032</v>
      </c>
    </row>
    <row r="7" spans="1:23" x14ac:dyDescent="0.3">
      <c r="A7" s="2" t="s">
        <v>212</v>
      </c>
      <c r="B7" s="10">
        <v>45669</v>
      </c>
      <c r="C7" s="10"/>
      <c r="D7" s="2" t="s">
        <v>189</v>
      </c>
      <c r="E7" s="2" t="s">
        <v>190</v>
      </c>
      <c r="F7" s="2" t="s">
        <v>213</v>
      </c>
      <c r="G7" s="2" t="s">
        <v>198</v>
      </c>
      <c r="H7" s="2" t="s">
        <v>199</v>
      </c>
      <c r="I7" s="2">
        <v>2</v>
      </c>
      <c r="J7" s="11">
        <v>2999</v>
      </c>
      <c r="K7" s="12">
        <v>0.2</v>
      </c>
      <c r="L7" s="2" t="s">
        <v>214</v>
      </c>
      <c r="M7" s="2" t="s">
        <v>215</v>
      </c>
      <c r="N7">
        <f>Table1[[#This Row],[Quantity]]*Table1[[#This Row],[Unit Price (₹)]]*(1-Table1[[#This Row],[Discount %]])</f>
        <v>4798.4000000000005</v>
      </c>
      <c r="O7" t="str">
        <f>TEXT(Table1[[#This Row],[Order Date]],"mmmm")</f>
        <v>January</v>
      </c>
      <c r="P7" t="str">
        <f>IF(Table1[[#This Row],[Revenue (₹)  ← add]]&gt;=15000,"High Value",IF(Table1[[#This Row],[Revenue (₹)  ← add]]&gt;=5000,"Medium","Low"))</f>
        <v>Low</v>
      </c>
      <c r="Q7">
        <f>VLOOKUP(Table1[[#This Row],[Product]],Table2[],4,FALSE)</f>
        <v>1700</v>
      </c>
      <c r="R7">
        <f>Table1[[#This Row],[Revenue (₹)  ← add]]-Table1[[#This Row],[Cost Price  ← add]]</f>
        <v>3098.4000000000005</v>
      </c>
      <c r="S7" t="str">
        <f>IF(C7="", "",Table1[[#This Row],[Delivery Date]]-Table1[[#This Row],[Order Date]])</f>
        <v/>
      </c>
      <c r="T7" t="str">
        <f>TEXT(Table1[[#This Row],[Order Date]],"DDDD")</f>
        <v>Sunday</v>
      </c>
      <c r="V7" s="35" t="s">
        <v>644</v>
      </c>
      <c r="W7">
        <f>MAX(Table1[Revenue (₹)  ← add])</f>
        <v>25497</v>
      </c>
    </row>
    <row r="8" spans="1:23" x14ac:dyDescent="0.3">
      <c r="A8" s="2" t="s">
        <v>216</v>
      </c>
      <c r="B8" s="10">
        <v>45669</v>
      </c>
      <c r="C8" s="10">
        <v>45675</v>
      </c>
      <c r="D8" s="2" t="s">
        <v>189</v>
      </c>
      <c r="E8" s="2" t="s">
        <v>197</v>
      </c>
      <c r="F8" s="2" t="s">
        <v>213</v>
      </c>
      <c r="G8" s="2" t="s">
        <v>217</v>
      </c>
      <c r="H8" s="2" t="s">
        <v>218</v>
      </c>
      <c r="I8" s="2">
        <v>3</v>
      </c>
      <c r="J8" s="11">
        <v>1499</v>
      </c>
      <c r="K8" s="12">
        <v>0.1</v>
      </c>
      <c r="L8" s="2" t="s">
        <v>203</v>
      </c>
      <c r="M8" s="2" t="s">
        <v>219</v>
      </c>
      <c r="N8">
        <f>Table1[[#This Row],[Quantity]]*Table1[[#This Row],[Unit Price (₹)]]*(1-Table1[[#This Row],[Discount %]])</f>
        <v>4047.3</v>
      </c>
      <c r="O8" t="str">
        <f>TEXT(Table1[[#This Row],[Order Date]],"mmmm")</f>
        <v>January</v>
      </c>
      <c r="P8" t="str">
        <f>IF(Table1[[#This Row],[Revenue (₹)  ← add]]&gt;=15000,"High Value",IF(Table1[[#This Row],[Revenue (₹)  ← add]]&gt;=5000,"Medium","Low"))</f>
        <v>Low</v>
      </c>
      <c r="Q8">
        <f>VLOOKUP(Table1[[#This Row],[Product]],Table2[],4,FALSE)</f>
        <v>850</v>
      </c>
      <c r="R8">
        <f>Table1[[#This Row],[Revenue (₹)  ← add]]-Table1[[#This Row],[Cost Price  ← add]]</f>
        <v>3197.3</v>
      </c>
      <c r="S8">
        <f>IF(C8="", "",Table1[[#This Row],[Delivery Date]]-Table1[[#This Row],[Order Date]])</f>
        <v>6</v>
      </c>
      <c r="T8" t="str">
        <f>TEXT(Table1[[#This Row],[Order Date]],"DDDD")</f>
        <v>Sunday</v>
      </c>
      <c r="V8" s="36" t="s">
        <v>645</v>
      </c>
      <c r="W8">
        <f>MIN(Table1[Revenue (₹)  ← add])</f>
        <v>719.1</v>
      </c>
    </row>
    <row r="9" spans="1:23" x14ac:dyDescent="0.3">
      <c r="A9" s="2" t="s">
        <v>220</v>
      </c>
      <c r="B9" s="10">
        <v>45669</v>
      </c>
      <c r="C9" s="10">
        <v>45677</v>
      </c>
      <c r="D9" s="2" t="s">
        <v>189</v>
      </c>
      <c r="E9" s="2" t="s">
        <v>190</v>
      </c>
      <c r="F9" s="2" t="s">
        <v>213</v>
      </c>
      <c r="G9" s="2" t="s">
        <v>201</v>
      </c>
      <c r="H9" s="2" t="s">
        <v>202</v>
      </c>
      <c r="I9" s="2">
        <v>2</v>
      </c>
      <c r="J9" s="11">
        <v>8499</v>
      </c>
      <c r="K9" s="12">
        <v>0</v>
      </c>
      <c r="L9" s="2" t="s">
        <v>203</v>
      </c>
      <c r="M9" s="2" t="s">
        <v>195</v>
      </c>
      <c r="N9">
        <f>Table1[[#This Row],[Quantity]]*Table1[[#This Row],[Unit Price (₹)]]*(1-Table1[[#This Row],[Discount %]])</f>
        <v>16998</v>
      </c>
      <c r="O9" t="str">
        <f>TEXT(Table1[[#This Row],[Order Date]],"mmmm")</f>
        <v>January</v>
      </c>
      <c r="P9" t="str">
        <f>IF(Table1[[#This Row],[Revenue (₹)  ← add]]&gt;=15000,"High Value",IF(Table1[[#This Row],[Revenue (₹)  ← add]]&gt;=5000,"Medium","Low"))</f>
        <v>High Value</v>
      </c>
      <c r="Q9">
        <f>VLOOKUP(Table1[[#This Row],[Product]],Table2[],4,FALSE)</f>
        <v>5200</v>
      </c>
      <c r="R9">
        <f>Table1[[#This Row],[Revenue (₹)  ← add]]-Table1[[#This Row],[Cost Price  ← add]]</f>
        <v>11798</v>
      </c>
      <c r="S9">
        <f>IF(C9="", "",Table1[[#This Row],[Delivery Date]]-Table1[[#This Row],[Order Date]])</f>
        <v>8</v>
      </c>
      <c r="T9" t="str">
        <f>TEXT(Table1[[#This Row],[Order Date]],"DDDD")</f>
        <v>Sunday</v>
      </c>
      <c r="V9" s="35" t="s">
        <v>646</v>
      </c>
      <c r="W9">
        <f>COUNTIF(M2:M251,"Delivered")</f>
        <v>217</v>
      </c>
    </row>
    <row r="10" spans="1:23" x14ac:dyDescent="0.3">
      <c r="A10" s="2" t="s">
        <v>221</v>
      </c>
      <c r="B10" s="10">
        <v>45671</v>
      </c>
      <c r="C10" s="10">
        <v>45678</v>
      </c>
      <c r="D10" s="2" t="s">
        <v>222</v>
      </c>
      <c r="E10" s="2" t="s">
        <v>223</v>
      </c>
      <c r="F10" s="2" t="s">
        <v>224</v>
      </c>
      <c r="G10" s="2" t="s">
        <v>201</v>
      </c>
      <c r="H10" s="2" t="s">
        <v>202</v>
      </c>
      <c r="I10" s="2">
        <v>2</v>
      </c>
      <c r="J10" s="11">
        <v>8499</v>
      </c>
      <c r="K10" s="12">
        <v>0</v>
      </c>
      <c r="L10" s="2" t="s">
        <v>225</v>
      </c>
      <c r="M10" s="2" t="s">
        <v>195</v>
      </c>
      <c r="N10">
        <f>Table1[[#This Row],[Quantity]]*Table1[[#This Row],[Unit Price (₹)]]*(1-Table1[[#This Row],[Discount %]])</f>
        <v>16998</v>
      </c>
      <c r="O10" t="str">
        <f>TEXT(Table1[[#This Row],[Order Date]],"mmmm")</f>
        <v>January</v>
      </c>
      <c r="P10" t="str">
        <f>IF(Table1[[#This Row],[Revenue (₹)  ← add]]&gt;=15000,"High Value",IF(Table1[[#This Row],[Revenue (₹)  ← add]]&gt;=5000,"Medium","Low"))</f>
        <v>High Value</v>
      </c>
      <c r="Q10">
        <f>VLOOKUP(Table1[[#This Row],[Product]],Table2[],4,FALSE)</f>
        <v>5200</v>
      </c>
      <c r="R10">
        <f>Table1[[#This Row],[Revenue (₹)  ← add]]-Table1[[#This Row],[Cost Price  ← add]]</f>
        <v>11798</v>
      </c>
      <c r="S10">
        <f>IF(C10="", "",Table1[[#This Row],[Delivery Date]]-Table1[[#This Row],[Order Date]])</f>
        <v>7</v>
      </c>
      <c r="T10" t="str">
        <f>TEXT(Table1[[#This Row],[Order Date]],"DDDD")</f>
        <v>Tuesday</v>
      </c>
      <c r="V10" s="35" t="s">
        <v>219</v>
      </c>
      <c r="W10">
        <f>COUNTIF(M2:M251,"Returned")</f>
        <v>15</v>
      </c>
    </row>
    <row r="11" spans="1:23" x14ac:dyDescent="0.3">
      <c r="A11" s="2" t="s">
        <v>226</v>
      </c>
      <c r="B11" s="10">
        <v>45672</v>
      </c>
      <c r="C11" s="10"/>
      <c r="D11" s="2" t="s">
        <v>205</v>
      </c>
      <c r="E11" s="2" t="s">
        <v>227</v>
      </c>
      <c r="F11" s="2" t="s">
        <v>207</v>
      </c>
      <c r="G11" s="2" t="s">
        <v>217</v>
      </c>
      <c r="H11" s="2" t="s">
        <v>228</v>
      </c>
      <c r="I11" s="2">
        <v>3</v>
      </c>
      <c r="J11" s="11">
        <v>799</v>
      </c>
      <c r="K11" s="12">
        <v>0.1</v>
      </c>
      <c r="L11" s="2" t="s">
        <v>229</v>
      </c>
      <c r="M11" s="2" t="s">
        <v>215</v>
      </c>
      <c r="N11">
        <f>Table1[[#This Row],[Quantity]]*Table1[[#This Row],[Unit Price (₹)]]*(1-Table1[[#This Row],[Discount %]])</f>
        <v>2157.3000000000002</v>
      </c>
      <c r="O11" t="str">
        <f>TEXT(Table1[[#This Row],[Order Date]],"mmmm")</f>
        <v>January</v>
      </c>
      <c r="P11" t="str">
        <f>IF(Table1[[#This Row],[Revenue (₹)  ← add]]&gt;=15000,"High Value",IF(Table1[[#This Row],[Revenue (₹)  ← add]]&gt;=5000,"Medium","Low"))</f>
        <v>Low</v>
      </c>
      <c r="Q11">
        <f>VLOOKUP(Table1[[#This Row],[Product]],Table2[],4,FALSE)</f>
        <v>450</v>
      </c>
      <c r="R11">
        <f>Table1[[#This Row],[Revenue (₹)  ← add]]-Table1[[#This Row],[Cost Price  ← add]]</f>
        <v>1707.3000000000002</v>
      </c>
      <c r="S11" t="str">
        <f>IF(C11="", "",Table1[[#This Row],[Delivery Date]]-Table1[[#This Row],[Order Date]])</f>
        <v/>
      </c>
      <c r="T11" t="str">
        <f>TEXT(Table1[[#This Row],[Order Date]],"DDDD")</f>
        <v>Wednesday</v>
      </c>
      <c r="V11" s="35" t="s">
        <v>215</v>
      </c>
      <c r="W11">
        <f>COUNTIF(M2:M251,"Cancelled")</f>
        <v>18</v>
      </c>
    </row>
    <row r="12" spans="1:23" x14ac:dyDescent="0.3">
      <c r="A12" s="2" t="s">
        <v>230</v>
      </c>
      <c r="B12" s="10">
        <v>45676</v>
      </c>
      <c r="C12" s="10">
        <v>45682</v>
      </c>
      <c r="D12" s="2" t="s">
        <v>222</v>
      </c>
      <c r="E12" s="2" t="s">
        <v>231</v>
      </c>
      <c r="F12" s="2" t="s">
        <v>224</v>
      </c>
      <c r="G12" s="2" t="s">
        <v>198</v>
      </c>
      <c r="H12" s="2" t="s">
        <v>199</v>
      </c>
      <c r="I12" s="2">
        <v>2</v>
      </c>
      <c r="J12" s="11">
        <v>2999</v>
      </c>
      <c r="K12" s="12">
        <v>0.2</v>
      </c>
      <c r="L12" s="2" t="s">
        <v>203</v>
      </c>
      <c r="M12" s="2" t="s">
        <v>195</v>
      </c>
      <c r="N12">
        <f>Table1[[#This Row],[Quantity]]*Table1[[#This Row],[Unit Price (₹)]]*(1-Table1[[#This Row],[Discount %]])</f>
        <v>4798.4000000000005</v>
      </c>
      <c r="O12" t="str">
        <f>TEXT(Table1[[#This Row],[Order Date]],"mmmm")</f>
        <v>January</v>
      </c>
      <c r="P12" t="str">
        <f>IF(Table1[[#This Row],[Revenue (₹)  ← add]]&gt;=15000,"High Value",IF(Table1[[#This Row],[Revenue (₹)  ← add]]&gt;=5000,"Medium","Low"))</f>
        <v>Low</v>
      </c>
      <c r="Q12">
        <f>VLOOKUP(Table1[[#This Row],[Product]],Table2[],4,FALSE)</f>
        <v>1700</v>
      </c>
      <c r="R12">
        <f>Table1[[#This Row],[Revenue (₹)  ← add]]-Table1[[#This Row],[Cost Price  ← add]]</f>
        <v>3098.4000000000005</v>
      </c>
      <c r="S12">
        <f>IF(C12="", "",Table1[[#This Row],[Delivery Date]]-Table1[[#This Row],[Order Date]])</f>
        <v>6</v>
      </c>
      <c r="T12" t="str">
        <f>TEXT(Table1[[#This Row],[Order Date]],"DDDD")</f>
        <v>Sunday</v>
      </c>
      <c r="V12" s="35" t="s">
        <v>647</v>
      </c>
      <c r="W12">
        <f>SUMIF(D2:D251,"West",N2:N251)</f>
        <v>506758.85000000003</v>
      </c>
    </row>
    <row r="13" spans="1:23" x14ac:dyDescent="0.3">
      <c r="A13" s="2" t="s">
        <v>232</v>
      </c>
      <c r="B13" s="10">
        <v>45676</v>
      </c>
      <c r="C13" s="10">
        <v>45681</v>
      </c>
      <c r="D13" s="2" t="s">
        <v>205</v>
      </c>
      <c r="E13" s="2" t="s">
        <v>206</v>
      </c>
      <c r="F13" s="2" t="s">
        <v>207</v>
      </c>
      <c r="G13" s="2" t="s">
        <v>217</v>
      </c>
      <c r="H13" s="2" t="s">
        <v>228</v>
      </c>
      <c r="I13" s="2">
        <v>3</v>
      </c>
      <c r="J13" s="11">
        <v>799</v>
      </c>
      <c r="K13" s="12">
        <v>0.15</v>
      </c>
      <c r="L13" s="2" t="s">
        <v>203</v>
      </c>
      <c r="M13" s="2" t="s">
        <v>195</v>
      </c>
      <c r="N13">
        <f>Table1[[#This Row],[Quantity]]*Table1[[#This Row],[Unit Price (₹)]]*(1-Table1[[#This Row],[Discount %]])</f>
        <v>2037.45</v>
      </c>
      <c r="O13" t="str">
        <f>TEXT(Table1[[#This Row],[Order Date]],"mmmm")</f>
        <v>January</v>
      </c>
      <c r="P13" t="str">
        <f>IF(Table1[[#This Row],[Revenue (₹)  ← add]]&gt;=15000,"High Value",IF(Table1[[#This Row],[Revenue (₹)  ← add]]&gt;=5000,"Medium","Low"))</f>
        <v>Low</v>
      </c>
      <c r="Q13">
        <f>VLOOKUP(Table1[[#This Row],[Product]],Table2[],4,FALSE)</f>
        <v>450</v>
      </c>
      <c r="R13">
        <f>Table1[[#This Row],[Revenue (₹)  ← add]]-Table1[[#This Row],[Cost Price  ← add]]</f>
        <v>1587.45</v>
      </c>
      <c r="S13">
        <f>IF(C13="", "",Table1[[#This Row],[Delivery Date]]-Table1[[#This Row],[Order Date]])</f>
        <v>5</v>
      </c>
      <c r="T13" t="str">
        <f>TEXT(Table1[[#This Row],[Order Date]],"DDDD")</f>
        <v>Sunday</v>
      </c>
      <c r="V13" s="35" t="s">
        <v>648</v>
      </c>
      <c r="W13">
        <f>SUMIF(M2:M251,"Delivered",N2:N251)</f>
        <v>1526078.8500000003</v>
      </c>
    </row>
    <row r="14" spans="1:23" x14ac:dyDescent="0.3">
      <c r="A14" s="2" t="s">
        <v>233</v>
      </c>
      <c r="B14" s="10">
        <v>45678</v>
      </c>
      <c r="C14" s="10">
        <v>45683</v>
      </c>
      <c r="D14" s="2" t="s">
        <v>189</v>
      </c>
      <c r="E14" s="2" t="s">
        <v>197</v>
      </c>
      <c r="F14" s="2" t="s">
        <v>191</v>
      </c>
      <c r="G14" s="2" t="s">
        <v>192</v>
      </c>
      <c r="H14" s="2" t="s">
        <v>234</v>
      </c>
      <c r="I14" s="2">
        <v>6</v>
      </c>
      <c r="J14" s="11">
        <v>599</v>
      </c>
      <c r="K14" s="12">
        <v>0</v>
      </c>
      <c r="L14" s="2" t="s">
        <v>194</v>
      </c>
      <c r="M14" s="2" t="s">
        <v>195</v>
      </c>
      <c r="N14">
        <f>Table1[[#This Row],[Quantity]]*Table1[[#This Row],[Unit Price (₹)]]*(1-Table1[[#This Row],[Discount %]])</f>
        <v>3594</v>
      </c>
      <c r="O14" t="str">
        <f>TEXT(Table1[[#This Row],[Order Date]],"mmmm")</f>
        <v>January</v>
      </c>
      <c r="P14" t="str">
        <f>IF(Table1[[#This Row],[Revenue (₹)  ← add]]&gt;=15000,"High Value",IF(Table1[[#This Row],[Revenue (₹)  ← add]]&gt;=5000,"Medium","Low"))</f>
        <v>Low</v>
      </c>
      <c r="Q14">
        <f>VLOOKUP(Table1[[#This Row],[Product]],Table2[],4,FALSE)</f>
        <v>320</v>
      </c>
      <c r="R14">
        <f>Table1[[#This Row],[Revenue (₹)  ← add]]-Table1[[#This Row],[Cost Price  ← add]]</f>
        <v>3274</v>
      </c>
      <c r="S14">
        <f>IF(C14="", "",Table1[[#This Row],[Delivery Date]]-Table1[[#This Row],[Order Date]])</f>
        <v>5</v>
      </c>
      <c r="T14" t="str">
        <f>TEXT(Table1[[#This Row],[Order Date]],"DDDD")</f>
        <v>Tuesday</v>
      </c>
      <c r="V14" s="35" t="s">
        <v>562</v>
      </c>
      <c r="W14">
        <f>COUNTIF(O2:O227,"March")</f>
        <v>15</v>
      </c>
    </row>
    <row r="15" spans="1:23" x14ac:dyDescent="0.3">
      <c r="A15" s="2" t="s">
        <v>235</v>
      </c>
      <c r="B15" s="10">
        <v>45678</v>
      </c>
      <c r="C15" s="10">
        <v>45681</v>
      </c>
      <c r="D15" s="2" t="s">
        <v>205</v>
      </c>
      <c r="E15" s="2" t="s">
        <v>210</v>
      </c>
      <c r="F15" s="2" t="s">
        <v>211</v>
      </c>
      <c r="G15" s="2" t="s">
        <v>217</v>
      </c>
      <c r="H15" s="2" t="s">
        <v>236</v>
      </c>
      <c r="I15" s="2">
        <v>4</v>
      </c>
      <c r="J15" s="11">
        <v>2499</v>
      </c>
      <c r="K15" s="12">
        <v>0.2</v>
      </c>
      <c r="L15" s="2" t="s">
        <v>194</v>
      </c>
      <c r="M15" s="2" t="s">
        <v>195</v>
      </c>
      <c r="N15">
        <f>Table1[[#This Row],[Quantity]]*Table1[[#This Row],[Unit Price (₹)]]*(1-Table1[[#This Row],[Discount %]])</f>
        <v>7996.8</v>
      </c>
      <c r="O15" t="str">
        <f>TEXT(Table1[[#This Row],[Order Date]],"mmmm")</f>
        <v>January</v>
      </c>
      <c r="P15" t="str">
        <f>IF(Table1[[#This Row],[Revenue (₹)  ← add]]&gt;=15000,"High Value",IF(Table1[[#This Row],[Revenue (₹)  ← add]]&gt;=5000,"Medium","Low"))</f>
        <v>Medium</v>
      </c>
      <c r="Q15">
        <f>VLOOKUP(Table1[[#This Row],[Product]],Table2[],4,FALSE)</f>
        <v>1500</v>
      </c>
      <c r="R15">
        <f>Table1[[#This Row],[Revenue (₹)  ← add]]-Table1[[#This Row],[Cost Price  ← add]]</f>
        <v>6496.8</v>
      </c>
      <c r="S15">
        <f>IF(C15="", "",Table1[[#This Row],[Delivery Date]]-Table1[[#This Row],[Order Date]])</f>
        <v>3</v>
      </c>
      <c r="T15" t="str">
        <f>TEXT(Table1[[#This Row],[Order Date]],"DDDD")</f>
        <v>Tuesday</v>
      </c>
      <c r="V15" s="35" t="s">
        <v>649</v>
      </c>
      <c r="W15">
        <f>SUMIFS(N2:N251,G2:G251,"Electronics",M2:M251,"Delivered")</f>
        <v>396617.05</v>
      </c>
    </row>
    <row r="16" spans="1:23" x14ac:dyDescent="0.3">
      <c r="A16" s="2" t="s">
        <v>237</v>
      </c>
      <c r="B16" s="10">
        <v>45678</v>
      </c>
      <c r="C16" s="10">
        <v>45685</v>
      </c>
      <c r="D16" s="2" t="s">
        <v>238</v>
      </c>
      <c r="E16" s="2" t="s">
        <v>239</v>
      </c>
      <c r="F16" s="2" t="s">
        <v>240</v>
      </c>
      <c r="G16" s="2" t="s">
        <v>217</v>
      </c>
      <c r="H16" s="2" t="s">
        <v>236</v>
      </c>
      <c r="I16" s="2">
        <v>2</v>
      </c>
      <c r="J16" s="11">
        <v>2499</v>
      </c>
      <c r="K16" s="12">
        <v>0.05</v>
      </c>
      <c r="L16" s="2" t="s">
        <v>229</v>
      </c>
      <c r="M16" s="2" t="s">
        <v>219</v>
      </c>
      <c r="N16">
        <f>Table1[[#This Row],[Quantity]]*Table1[[#This Row],[Unit Price (₹)]]*(1-Table1[[#This Row],[Discount %]])</f>
        <v>4748.0999999999995</v>
      </c>
      <c r="O16" t="str">
        <f>TEXT(Table1[[#This Row],[Order Date]],"mmmm")</f>
        <v>January</v>
      </c>
      <c r="P16" t="str">
        <f>IF(Table1[[#This Row],[Revenue (₹)  ← add]]&gt;=15000,"High Value",IF(Table1[[#This Row],[Revenue (₹)  ← add]]&gt;=5000,"Medium","Low"))</f>
        <v>Low</v>
      </c>
      <c r="Q16">
        <f>VLOOKUP(Table1[[#This Row],[Product]],Table2[],4,FALSE)</f>
        <v>1500</v>
      </c>
      <c r="R16">
        <f>Table1[[#This Row],[Revenue (₹)  ← add]]-Table1[[#This Row],[Cost Price  ← add]]</f>
        <v>3248.0999999999995</v>
      </c>
      <c r="S16">
        <f>IF(C16="", "",Table1[[#This Row],[Delivery Date]]-Table1[[#This Row],[Order Date]])</f>
        <v>7</v>
      </c>
      <c r="T16" t="str">
        <f>TEXT(Table1[[#This Row],[Order Date]],"DDDD")</f>
        <v>Tuesday</v>
      </c>
      <c r="V16" s="35" t="s">
        <v>650</v>
      </c>
      <c r="W16" s="37">
        <f>AVERAGEIF(L2:L251,"UPI",K2:K251)</f>
        <v>8.9204545454545439E-2</v>
      </c>
    </row>
    <row r="17" spans="1:23" x14ac:dyDescent="0.3">
      <c r="A17" s="2" t="s">
        <v>241</v>
      </c>
      <c r="B17" s="10">
        <v>45679</v>
      </c>
      <c r="C17" s="10">
        <v>45685</v>
      </c>
      <c r="D17" s="2" t="s">
        <v>189</v>
      </c>
      <c r="E17" s="2" t="s">
        <v>190</v>
      </c>
      <c r="F17" s="2" t="s">
        <v>213</v>
      </c>
      <c r="G17" s="2" t="s">
        <v>198</v>
      </c>
      <c r="H17" s="2" t="s">
        <v>208</v>
      </c>
      <c r="I17" s="2">
        <v>8</v>
      </c>
      <c r="J17" s="11">
        <v>599</v>
      </c>
      <c r="K17" s="12">
        <v>0</v>
      </c>
      <c r="L17" s="2" t="s">
        <v>203</v>
      </c>
      <c r="M17" s="2" t="s">
        <v>195</v>
      </c>
      <c r="N17">
        <f>Table1[[#This Row],[Quantity]]*Table1[[#This Row],[Unit Price (₹)]]*(1-Table1[[#This Row],[Discount %]])</f>
        <v>4792</v>
      </c>
      <c r="O17" t="str">
        <f>TEXT(Table1[[#This Row],[Order Date]],"mmmm")</f>
        <v>January</v>
      </c>
      <c r="P17" t="str">
        <f>IF(Table1[[#This Row],[Revenue (₹)  ← add]]&gt;=15000,"High Value",IF(Table1[[#This Row],[Revenue (₹)  ← add]]&gt;=5000,"Medium","Low"))</f>
        <v>Low</v>
      </c>
      <c r="Q17">
        <f>VLOOKUP(Table1[[#This Row],[Product]],Table2[],4,FALSE)</f>
        <v>300</v>
      </c>
      <c r="R17">
        <f>Table1[[#This Row],[Revenue (₹)  ← add]]-Table1[[#This Row],[Cost Price  ← add]]</f>
        <v>4492</v>
      </c>
      <c r="S17">
        <f>IF(C17="", "",Table1[[#This Row],[Delivery Date]]-Table1[[#This Row],[Order Date]])</f>
        <v>6</v>
      </c>
      <c r="T17" t="str">
        <f>TEXT(Table1[[#This Row],[Order Date]],"DDDD")</f>
        <v>Wednesday</v>
      </c>
      <c r="V17" s="35" t="s">
        <v>651</v>
      </c>
      <c r="W17" s="37">
        <f>AVERAGEIF(L2:L251,"COD",K2:K251)</f>
        <v>8.2954545454545447E-2</v>
      </c>
    </row>
    <row r="18" spans="1:23" x14ac:dyDescent="0.3">
      <c r="A18" s="2" t="s">
        <v>242</v>
      </c>
      <c r="B18" s="10">
        <v>45682</v>
      </c>
      <c r="C18" s="10">
        <v>45685</v>
      </c>
      <c r="D18" s="2" t="s">
        <v>238</v>
      </c>
      <c r="E18" s="2" t="s">
        <v>243</v>
      </c>
      <c r="F18" s="2" t="s">
        <v>244</v>
      </c>
      <c r="G18" s="2" t="s">
        <v>198</v>
      </c>
      <c r="H18" s="2" t="s">
        <v>208</v>
      </c>
      <c r="I18" s="2">
        <v>2</v>
      </c>
      <c r="J18" s="11">
        <v>599</v>
      </c>
      <c r="K18" s="12">
        <v>0.2</v>
      </c>
      <c r="L18" s="2" t="s">
        <v>194</v>
      </c>
      <c r="M18" s="2" t="s">
        <v>195</v>
      </c>
      <c r="N18">
        <f>Table1[[#This Row],[Quantity]]*Table1[[#This Row],[Unit Price (₹)]]*(1-Table1[[#This Row],[Discount %]])</f>
        <v>958.40000000000009</v>
      </c>
      <c r="O18" t="str">
        <f>TEXT(Table1[[#This Row],[Order Date]],"mmmm")</f>
        <v>January</v>
      </c>
      <c r="P18" t="str">
        <f>IF(Table1[[#This Row],[Revenue (₹)  ← add]]&gt;=15000,"High Value",IF(Table1[[#This Row],[Revenue (₹)  ← add]]&gt;=5000,"Medium","Low"))</f>
        <v>Low</v>
      </c>
      <c r="Q18">
        <f>VLOOKUP(Table1[[#This Row],[Product]],Table2[],4,FALSE)</f>
        <v>300</v>
      </c>
      <c r="R18">
        <f>Table1[[#This Row],[Revenue (₹)  ← add]]-Table1[[#This Row],[Cost Price  ← add]]</f>
        <v>658.40000000000009</v>
      </c>
      <c r="S18">
        <f>IF(C18="", "",Table1[[#This Row],[Delivery Date]]-Table1[[#This Row],[Order Date]])</f>
        <v>3</v>
      </c>
      <c r="T18" t="str">
        <f>TEXT(Table1[[#This Row],[Order Date]],"DDDD")</f>
        <v>Saturday</v>
      </c>
      <c r="V18" s="35" t="s">
        <v>652</v>
      </c>
      <c r="W18" s="37" cm="1">
        <f t="array" ref="W18">AVERAGE(_xlfn._xlws.FILTER(K2:K251,(L2:L251="COD")+(L2:L251="UPI")))</f>
        <v>8.7121212121212155E-2</v>
      </c>
    </row>
    <row r="19" spans="1:23" x14ac:dyDescent="0.3">
      <c r="A19" s="2" t="s">
        <v>245</v>
      </c>
      <c r="B19" s="10">
        <v>45683</v>
      </c>
      <c r="C19" s="10">
        <v>45690</v>
      </c>
      <c r="D19" s="2" t="s">
        <v>238</v>
      </c>
      <c r="E19" s="2" t="s">
        <v>239</v>
      </c>
      <c r="F19" s="2" t="s">
        <v>240</v>
      </c>
      <c r="G19" s="2" t="s">
        <v>198</v>
      </c>
      <c r="H19" s="2" t="s">
        <v>208</v>
      </c>
      <c r="I19" s="2">
        <v>4</v>
      </c>
      <c r="J19" s="11">
        <v>599</v>
      </c>
      <c r="K19" s="12">
        <v>0.05</v>
      </c>
      <c r="L19" s="2" t="s">
        <v>203</v>
      </c>
      <c r="M19" s="2" t="s">
        <v>195</v>
      </c>
      <c r="N19">
        <f>Table1[[#This Row],[Quantity]]*Table1[[#This Row],[Unit Price (₹)]]*(1-Table1[[#This Row],[Discount %]])</f>
        <v>2276.1999999999998</v>
      </c>
      <c r="O19" t="str">
        <f>TEXT(Table1[[#This Row],[Order Date]],"mmmm")</f>
        <v>January</v>
      </c>
      <c r="P19" t="str">
        <f>IF(Table1[[#This Row],[Revenue (₹)  ← add]]&gt;=15000,"High Value",IF(Table1[[#This Row],[Revenue (₹)  ← add]]&gt;=5000,"Medium","Low"))</f>
        <v>Low</v>
      </c>
      <c r="Q19">
        <f>VLOOKUP(Table1[[#This Row],[Product]],Table2[],4,FALSE)</f>
        <v>300</v>
      </c>
      <c r="R19">
        <f>Table1[[#This Row],[Revenue (₹)  ← add]]-Table1[[#This Row],[Cost Price  ← add]]</f>
        <v>1976.1999999999998</v>
      </c>
      <c r="S19">
        <f>IF(C19="", "",Table1[[#This Row],[Delivery Date]]-Table1[[#This Row],[Order Date]])</f>
        <v>7</v>
      </c>
      <c r="T19" t="str">
        <f>TEXT(Table1[[#This Row],[Order Date]],"DDDD")</f>
        <v>Sunday</v>
      </c>
    </row>
    <row r="20" spans="1:23" x14ac:dyDescent="0.3">
      <c r="A20" s="2" t="s">
        <v>246</v>
      </c>
      <c r="B20" s="10">
        <v>45685</v>
      </c>
      <c r="C20" s="10">
        <v>45694</v>
      </c>
      <c r="D20" s="2" t="s">
        <v>189</v>
      </c>
      <c r="E20" s="2" t="s">
        <v>197</v>
      </c>
      <c r="F20" s="2" t="s">
        <v>213</v>
      </c>
      <c r="G20" s="2" t="s">
        <v>192</v>
      </c>
      <c r="H20" s="2" t="s">
        <v>247</v>
      </c>
      <c r="I20" s="2">
        <v>8</v>
      </c>
      <c r="J20" s="11">
        <v>349</v>
      </c>
      <c r="K20" s="12">
        <v>0.15</v>
      </c>
      <c r="L20" s="2" t="s">
        <v>214</v>
      </c>
      <c r="M20" s="2" t="s">
        <v>195</v>
      </c>
      <c r="N20">
        <f>Table1[[#This Row],[Quantity]]*Table1[[#This Row],[Unit Price (₹)]]*(1-Table1[[#This Row],[Discount %]])</f>
        <v>2373.1999999999998</v>
      </c>
      <c r="O20" t="str">
        <f>TEXT(Table1[[#This Row],[Order Date]],"mmmm")</f>
        <v>January</v>
      </c>
      <c r="P20" t="str">
        <f>IF(Table1[[#This Row],[Revenue (₹)  ← add]]&gt;=15000,"High Value",IF(Table1[[#This Row],[Revenue (₹)  ← add]]&gt;=5000,"Medium","Low"))</f>
        <v>Low</v>
      </c>
      <c r="Q20">
        <f>VLOOKUP(Table1[[#This Row],[Product]],Table2[],4,FALSE)</f>
        <v>180</v>
      </c>
      <c r="R20">
        <f>Table1[[#This Row],[Revenue (₹)  ← add]]-Table1[[#This Row],[Cost Price  ← add]]</f>
        <v>2193.1999999999998</v>
      </c>
      <c r="S20">
        <f>IF(C20="", "",Table1[[#This Row],[Delivery Date]]-Table1[[#This Row],[Order Date]])</f>
        <v>9</v>
      </c>
      <c r="T20" t="str">
        <f>TEXT(Table1[[#This Row],[Order Date]],"DDDD")</f>
        <v>Tuesday</v>
      </c>
      <c r="V20" s="35" t="s">
        <v>66</v>
      </c>
      <c r="W20" t="str">
        <f>_xlfn.XLOOKUP(MAX(Table1[Revenue (₹)  ← add]),Table1[Revenue (₹)  ← add],Table1[Order ID],0,0,-1)</f>
        <v>ORD1222</v>
      </c>
    </row>
    <row r="21" spans="1:23" x14ac:dyDescent="0.3">
      <c r="A21" s="2" t="s">
        <v>248</v>
      </c>
      <c r="B21" s="10">
        <v>45685</v>
      </c>
      <c r="C21" s="10">
        <v>45692</v>
      </c>
      <c r="D21" s="2" t="s">
        <v>222</v>
      </c>
      <c r="E21" s="2" t="s">
        <v>223</v>
      </c>
      <c r="F21" s="2" t="s">
        <v>249</v>
      </c>
      <c r="G21" s="2" t="s">
        <v>201</v>
      </c>
      <c r="H21" s="2" t="s">
        <v>250</v>
      </c>
      <c r="I21" s="2">
        <v>2</v>
      </c>
      <c r="J21" s="11">
        <v>5499</v>
      </c>
      <c r="K21" s="12">
        <v>0.2</v>
      </c>
      <c r="L21" s="2" t="s">
        <v>203</v>
      </c>
      <c r="M21" s="2" t="s">
        <v>195</v>
      </c>
      <c r="N21">
        <f>Table1[[#This Row],[Quantity]]*Table1[[#This Row],[Unit Price (₹)]]*(1-Table1[[#This Row],[Discount %]])</f>
        <v>8798.4</v>
      </c>
      <c r="O21" t="str">
        <f>TEXT(Table1[[#This Row],[Order Date]],"mmmm")</f>
        <v>January</v>
      </c>
      <c r="P21" t="str">
        <f>IF(Table1[[#This Row],[Revenue (₹)  ← add]]&gt;=15000,"High Value",IF(Table1[[#This Row],[Revenue (₹)  ← add]]&gt;=5000,"Medium","Low"))</f>
        <v>Medium</v>
      </c>
      <c r="Q21">
        <f>VLOOKUP(Table1[[#This Row],[Product]],Table2[],4,FALSE)</f>
        <v>3300</v>
      </c>
      <c r="R21">
        <f>Table1[[#This Row],[Revenue (₹)  ← add]]-Table1[[#This Row],[Cost Price  ← add]]</f>
        <v>5498.4</v>
      </c>
      <c r="S21">
        <f>IF(C21="", "",Table1[[#This Row],[Delivery Date]]-Table1[[#This Row],[Order Date]])</f>
        <v>7</v>
      </c>
      <c r="T21" t="str">
        <f>TEXT(Table1[[#This Row],[Order Date]],"DDDD")</f>
        <v>Tuesday</v>
      </c>
      <c r="V21" s="35" t="s">
        <v>653</v>
      </c>
      <c r="W21" t="str" cm="1">
        <f t="array" ref="W21">_xlfn._xlws.FILTER(Table1[Order ID],N2:N251=(MAX(N2:N251)))</f>
        <v>ORD1222</v>
      </c>
    </row>
    <row r="22" spans="1:23" x14ac:dyDescent="0.3">
      <c r="A22" s="2" t="s">
        <v>251</v>
      </c>
      <c r="B22" s="10">
        <v>45687</v>
      </c>
      <c r="C22" s="10">
        <v>45695</v>
      </c>
      <c r="D22" s="2" t="s">
        <v>222</v>
      </c>
      <c r="E22" s="2" t="s">
        <v>223</v>
      </c>
      <c r="F22" s="2" t="s">
        <v>249</v>
      </c>
      <c r="G22" s="2" t="s">
        <v>192</v>
      </c>
      <c r="H22" s="2" t="s">
        <v>234</v>
      </c>
      <c r="I22" s="2">
        <v>7</v>
      </c>
      <c r="J22" s="11">
        <v>599</v>
      </c>
      <c r="K22" s="12">
        <v>0</v>
      </c>
      <c r="L22" s="2" t="s">
        <v>214</v>
      </c>
      <c r="M22" s="2" t="s">
        <v>195</v>
      </c>
      <c r="N22">
        <f>Table1[[#This Row],[Quantity]]*Table1[[#This Row],[Unit Price (₹)]]*(1-Table1[[#This Row],[Discount %]])</f>
        <v>4193</v>
      </c>
      <c r="O22" t="str">
        <f>TEXT(Table1[[#This Row],[Order Date]],"mmmm")</f>
        <v>January</v>
      </c>
      <c r="P22" t="str">
        <f>IF(Table1[[#This Row],[Revenue (₹)  ← add]]&gt;=15000,"High Value",IF(Table1[[#This Row],[Revenue (₹)  ← add]]&gt;=5000,"Medium","Low"))</f>
        <v>Low</v>
      </c>
      <c r="Q22">
        <f>VLOOKUP(Table1[[#This Row],[Product]],Table2[],4,FALSE)</f>
        <v>320</v>
      </c>
      <c r="R22">
        <f>Table1[[#This Row],[Revenue (₹)  ← add]]-Table1[[#This Row],[Cost Price  ← add]]</f>
        <v>3873</v>
      </c>
      <c r="S22">
        <f>IF(C22="", "",Table1[[#This Row],[Delivery Date]]-Table1[[#This Row],[Order Date]])</f>
        <v>8</v>
      </c>
      <c r="T22" t="str">
        <f>TEXT(Table1[[#This Row],[Order Date]],"DDDD")</f>
        <v>Thursday</v>
      </c>
      <c r="W22" t="str">
        <f>INDEX(Table1[Order ID],MATCH(MAX(Table1[Revenue (₹)  ← add]), Table1[Revenue (₹)  ← add],0))</f>
        <v>ORD1222</v>
      </c>
    </row>
    <row r="23" spans="1:23" x14ac:dyDescent="0.3">
      <c r="A23" s="2" t="s">
        <v>252</v>
      </c>
      <c r="B23" s="10">
        <v>45691</v>
      </c>
      <c r="C23" s="10">
        <v>45700</v>
      </c>
      <c r="D23" s="2" t="s">
        <v>238</v>
      </c>
      <c r="E23" s="2" t="s">
        <v>239</v>
      </c>
      <c r="F23" s="2" t="s">
        <v>244</v>
      </c>
      <c r="G23" s="2" t="s">
        <v>192</v>
      </c>
      <c r="H23" s="2" t="s">
        <v>234</v>
      </c>
      <c r="I23" s="2">
        <v>4</v>
      </c>
      <c r="J23" s="11">
        <v>599</v>
      </c>
      <c r="K23" s="12">
        <v>0</v>
      </c>
      <c r="L23" s="2" t="s">
        <v>203</v>
      </c>
      <c r="M23" s="2" t="s">
        <v>219</v>
      </c>
      <c r="N23">
        <f>Table1[[#This Row],[Quantity]]*Table1[[#This Row],[Unit Price (₹)]]*(1-Table1[[#This Row],[Discount %]])</f>
        <v>2396</v>
      </c>
      <c r="O23" t="str">
        <f>TEXT(Table1[[#This Row],[Order Date]],"mmmm")</f>
        <v>February</v>
      </c>
      <c r="P23" t="str">
        <f>IF(Table1[[#This Row],[Revenue (₹)  ← add]]&gt;=15000,"High Value",IF(Table1[[#This Row],[Revenue (₹)  ← add]]&gt;=5000,"Medium","Low"))</f>
        <v>Low</v>
      </c>
      <c r="Q23">
        <f>VLOOKUP(Table1[[#This Row],[Product]],Table2[],4,FALSE)</f>
        <v>320</v>
      </c>
      <c r="R23">
        <f>Table1[[#This Row],[Revenue (₹)  ← add]]-Table1[[#This Row],[Cost Price  ← add]]</f>
        <v>2076</v>
      </c>
      <c r="S23">
        <f>IF(C23="", "",Table1[[#This Row],[Delivery Date]]-Table1[[#This Row],[Order Date]])</f>
        <v>9</v>
      </c>
      <c r="T23" t="str">
        <f>TEXT(Table1[[#This Row],[Order Date]],"DDDD")</f>
        <v>Monday</v>
      </c>
      <c r="W23">
        <f>COUNTIF(N2:N251,MAX(N2:N251))</f>
        <v>1</v>
      </c>
    </row>
    <row r="24" spans="1:23" x14ac:dyDescent="0.3">
      <c r="A24" s="2" t="s">
        <v>253</v>
      </c>
      <c r="B24" s="10">
        <v>45694</v>
      </c>
      <c r="C24" s="10">
        <v>45703</v>
      </c>
      <c r="D24" s="2" t="s">
        <v>238</v>
      </c>
      <c r="E24" s="2" t="s">
        <v>254</v>
      </c>
      <c r="F24" s="2" t="s">
        <v>244</v>
      </c>
      <c r="G24" s="2" t="s">
        <v>217</v>
      </c>
      <c r="H24" s="2" t="s">
        <v>255</v>
      </c>
      <c r="I24" s="2">
        <v>5</v>
      </c>
      <c r="J24" s="11">
        <v>1999</v>
      </c>
      <c r="K24" s="12">
        <v>0.15</v>
      </c>
      <c r="L24" s="2" t="s">
        <v>229</v>
      </c>
      <c r="M24" s="2" t="s">
        <v>195</v>
      </c>
      <c r="N24">
        <f>Table1[[#This Row],[Quantity]]*Table1[[#This Row],[Unit Price (₹)]]*(1-Table1[[#This Row],[Discount %]])</f>
        <v>8495.75</v>
      </c>
      <c r="O24" t="str">
        <f>TEXT(Table1[[#This Row],[Order Date]],"mmmm")</f>
        <v>February</v>
      </c>
      <c r="P24" t="str">
        <f>IF(Table1[[#This Row],[Revenue (₹)  ← add]]&gt;=15000,"High Value",IF(Table1[[#This Row],[Revenue (₹)  ← add]]&gt;=5000,"Medium","Low"))</f>
        <v>Medium</v>
      </c>
      <c r="Q24">
        <f>VLOOKUP(Table1[[#This Row],[Product]],Table2[],4,FALSE)</f>
        <v>1100</v>
      </c>
      <c r="R24">
        <f>Table1[[#This Row],[Revenue (₹)  ← add]]-Table1[[#This Row],[Cost Price  ← add]]</f>
        <v>7395.75</v>
      </c>
      <c r="S24">
        <f>IF(C24="", "",Table1[[#This Row],[Delivery Date]]-Table1[[#This Row],[Order Date]])</f>
        <v>9</v>
      </c>
      <c r="T24" t="str">
        <f>TEXT(Table1[[#This Row],[Order Date]],"DDDD")</f>
        <v>Thursday</v>
      </c>
      <c r="V24" s="34" t="s">
        <v>76</v>
      </c>
      <c r="W24">
        <f>COUNTIFS(Table1[Discount %],"&gt;-10%",Table1[Quantity],"&gt;5")</f>
        <v>79</v>
      </c>
    </row>
    <row r="25" spans="1:23" ht="28.8" x14ac:dyDescent="0.3">
      <c r="A25" s="2" t="s">
        <v>256</v>
      </c>
      <c r="B25" s="10">
        <v>45695</v>
      </c>
      <c r="C25" s="10">
        <v>45704</v>
      </c>
      <c r="D25" s="2" t="s">
        <v>238</v>
      </c>
      <c r="E25" s="2" t="s">
        <v>243</v>
      </c>
      <c r="F25" s="2" t="s">
        <v>240</v>
      </c>
      <c r="G25" s="2" t="s">
        <v>217</v>
      </c>
      <c r="H25" s="2" t="s">
        <v>228</v>
      </c>
      <c r="I25" s="2">
        <v>3</v>
      </c>
      <c r="J25" s="11">
        <v>799</v>
      </c>
      <c r="K25" s="12">
        <v>0.05</v>
      </c>
      <c r="L25" s="2" t="s">
        <v>225</v>
      </c>
      <c r="M25" s="2" t="s">
        <v>195</v>
      </c>
      <c r="N25">
        <f>Table1[[#This Row],[Quantity]]*Table1[[#This Row],[Unit Price (₹)]]*(1-Table1[[#This Row],[Discount %]])</f>
        <v>2277.15</v>
      </c>
      <c r="O25" t="str">
        <f>TEXT(Table1[[#This Row],[Order Date]],"mmmm")</f>
        <v>February</v>
      </c>
      <c r="P25" t="str">
        <f>IF(Table1[[#This Row],[Revenue (₹)  ← add]]&gt;=15000,"High Value",IF(Table1[[#This Row],[Revenue (₹)  ← add]]&gt;=5000,"Medium","Low"))</f>
        <v>Low</v>
      </c>
      <c r="Q25">
        <f>VLOOKUP(Table1[[#This Row],[Product]],Table2[],4,FALSE)</f>
        <v>450</v>
      </c>
      <c r="R25">
        <f>Table1[[#This Row],[Revenue (₹)  ← add]]-Table1[[#This Row],[Cost Price  ← add]]</f>
        <v>1827.15</v>
      </c>
      <c r="S25">
        <f>IF(C25="", "",Table1[[#This Row],[Delivery Date]]-Table1[[#This Row],[Order Date]])</f>
        <v>9</v>
      </c>
      <c r="T25" t="str">
        <f>TEXT(Table1[[#This Row],[Order Date]],"DDDD")</f>
        <v>Friday</v>
      </c>
      <c r="V25" s="38" t="s">
        <v>655</v>
      </c>
      <c r="W25" s="37">
        <f>(COUNTIFS(Table1[Status],"Returned",Table1[Category],"Clothing"))/COUNTIF(Table1[Category],"Clothing")</f>
        <v>3.8461538461538464E-2</v>
      </c>
    </row>
    <row r="26" spans="1:23" x14ac:dyDescent="0.3">
      <c r="A26" s="2" t="s">
        <v>257</v>
      </c>
      <c r="B26" s="10">
        <v>45695</v>
      </c>
      <c r="C26" s="10">
        <v>45704</v>
      </c>
      <c r="D26" s="2" t="s">
        <v>205</v>
      </c>
      <c r="E26" s="2" t="s">
        <v>206</v>
      </c>
      <c r="F26" s="2" t="s">
        <v>211</v>
      </c>
      <c r="G26" s="2" t="s">
        <v>217</v>
      </c>
      <c r="H26" s="2" t="s">
        <v>218</v>
      </c>
      <c r="I26" s="2">
        <v>2</v>
      </c>
      <c r="J26" s="11">
        <v>1499</v>
      </c>
      <c r="K26" s="12">
        <v>0.05</v>
      </c>
      <c r="L26" s="2" t="s">
        <v>203</v>
      </c>
      <c r="M26" s="2" t="s">
        <v>195</v>
      </c>
      <c r="N26">
        <f>Table1[[#This Row],[Quantity]]*Table1[[#This Row],[Unit Price (₹)]]*(1-Table1[[#This Row],[Discount %]])</f>
        <v>2848.1</v>
      </c>
      <c r="O26" t="str">
        <f>TEXT(Table1[[#This Row],[Order Date]],"mmmm")</f>
        <v>February</v>
      </c>
      <c r="P26" t="str">
        <f>IF(Table1[[#This Row],[Revenue (₹)  ← add]]&gt;=15000,"High Value",IF(Table1[[#This Row],[Revenue (₹)  ← add]]&gt;=5000,"Medium","Low"))</f>
        <v>Low</v>
      </c>
      <c r="Q26">
        <f>VLOOKUP(Table1[[#This Row],[Product]],Table2[],4,FALSE)</f>
        <v>850</v>
      </c>
      <c r="R26">
        <f>Table1[[#This Row],[Revenue (₹)  ← add]]-Table1[[#This Row],[Cost Price  ← add]]</f>
        <v>1998.1</v>
      </c>
      <c r="S26">
        <f>IF(C26="", "",Table1[[#This Row],[Delivery Date]]-Table1[[#This Row],[Order Date]])</f>
        <v>9</v>
      </c>
      <c r="T26" t="str">
        <f>TEXT(Table1[[#This Row],[Order Date]],"DDDD")</f>
        <v>Friday</v>
      </c>
      <c r="V26" t="s">
        <v>86</v>
      </c>
    </row>
    <row r="27" spans="1:23" x14ac:dyDescent="0.3">
      <c r="A27" s="2" t="s">
        <v>258</v>
      </c>
      <c r="B27" s="10">
        <v>45695</v>
      </c>
      <c r="C27" s="10">
        <v>45701</v>
      </c>
      <c r="D27" s="2" t="s">
        <v>222</v>
      </c>
      <c r="E27" s="2" t="s">
        <v>259</v>
      </c>
      <c r="F27" s="2" t="s">
        <v>249</v>
      </c>
      <c r="G27" s="2" t="s">
        <v>198</v>
      </c>
      <c r="H27" s="2" t="s">
        <v>208</v>
      </c>
      <c r="I27" s="2">
        <v>3</v>
      </c>
      <c r="J27" s="11">
        <v>599</v>
      </c>
      <c r="K27" s="12">
        <v>0.2</v>
      </c>
      <c r="L27" s="2" t="s">
        <v>214</v>
      </c>
      <c r="M27" s="2" t="s">
        <v>195</v>
      </c>
      <c r="N27">
        <f>Table1[[#This Row],[Quantity]]*Table1[[#This Row],[Unit Price (₹)]]*(1-Table1[[#This Row],[Discount %]])</f>
        <v>1437.6000000000001</v>
      </c>
      <c r="O27" t="str">
        <f>TEXT(Table1[[#This Row],[Order Date]],"mmmm")</f>
        <v>February</v>
      </c>
      <c r="P27" t="str">
        <f>IF(Table1[[#This Row],[Revenue (₹)  ← add]]&gt;=15000,"High Value",IF(Table1[[#This Row],[Revenue (₹)  ← add]]&gt;=5000,"Medium","Low"))</f>
        <v>Low</v>
      </c>
      <c r="Q27">
        <f>VLOOKUP(Table1[[#This Row],[Product]],Table2[],4,FALSE)</f>
        <v>300</v>
      </c>
      <c r="R27">
        <f>Table1[[#This Row],[Revenue (₹)  ← add]]-Table1[[#This Row],[Cost Price  ← add]]</f>
        <v>1137.6000000000001</v>
      </c>
      <c r="S27">
        <f>IF(C27="", "",Table1[[#This Row],[Delivery Date]]-Table1[[#This Row],[Order Date]])</f>
        <v>6</v>
      </c>
      <c r="T27" t="str">
        <f>TEXT(Table1[[#This Row],[Order Date]],"DDDD")</f>
        <v>Friday</v>
      </c>
      <c r="W27" cm="1">
        <f t="array" ref="W27">SUMPRODUCT(--(WEEKDAY(C2:C251,2)=7))+SUMPRODUCT(--(WEEKDAY(C2:C251,2)=7))</f>
        <v>92</v>
      </c>
    </row>
    <row r="28" spans="1:23" x14ac:dyDescent="0.3">
      <c r="A28" s="2" t="s">
        <v>260</v>
      </c>
      <c r="B28" s="10">
        <v>45698</v>
      </c>
      <c r="C28" s="10">
        <v>45705</v>
      </c>
      <c r="D28" s="2" t="s">
        <v>189</v>
      </c>
      <c r="E28" s="2" t="s">
        <v>190</v>
      </c>
      <c r="F28" s="2" t="s">
        <v>191</v>
      </c>
      <c r="G28" s="2" t="s">
        <v>192</v>
      </c>
      <c r="H28" s="2" t="s">
        <v>234</v>
      </c>
      <c r="I28" s="2">
        <v>15</v>
      </c>
      <c r="J28" s="11">
        <v>599</v>
      </c>
      <c r="K28" s="12">
        <v>0</v>
      </c>
      <c r="L28" s="2" t="s">
        <v>203</v>
      </c>
      <c r="M28" s="2" t="s">
        <v>195</v>
      </c>
      <c r="N28">
        <f>Table1[[#This Row],[Quantity]]*Table1[[#This Row],[Unit Price (₹)]]*(1-Table1[[#This Row],[Discount %]])</f>
        <v>8985</v>
      </c>
      <c r="O28" t="str">
        <f>TEXT(Table1[[#This Row],[Order Date]],"mmmm")</f>
        <v>February</v>
      </c>
      <c r="P28" t="str">
        <f>IF(Table1[[#This Row],[Revenue (₹)  ← add]]&gt;=15000,"High Value",IF(Table1[[#This Row],[Revenue (₹)  ← add]]&gt;=5000,"Medium","Low"))</f>
        <v>Medium</v>
      </c>
      <c r="Q28">
        <f>VLOOKUP(Table1[[#This Row],[Product]],Table2[],4,FALSE)</f>
        <v>320</v>
      </c>
      <c r="R28">
        <f>Table1[[#This Row],[Revenue (₹)  ← add]]-Table1[[#This Row],[Cost Price  ← add]]</f>
        <v>8665</v>
      </c>
      <c r="S28">
        <f>IF(C28="", "",Table1[[#This Row],[Delivery Date]]-Table1[[#This Row],[Order Date]])</f>
        <v>7</v>
      </c>
      <c r="T28" t="str">
        <f>TEXT(Table1[[#This Row],[Order Date]],"DDDD")</f>
        <v>Monday</v>
      </c>
      <c r="V28" t="s">
        <v>656</v>
      </c>
      <c r="W28">
        <f>AVERAGEIF(Table1[Region],"West",Table1[Delivery Days  ← add])</f>
        <v>5.9666666666666668</v>
      </c>
    </row>
    <row r="29" spans="1:23" x14ac:dyDescent="0.3">
      <c r="A29" s="2" t="s">
        <v>261</v>
      </c>
      <c r="B29" s="10">
        <v>45698</v>
      </c>
      <c r="C29" s="10">
        <v>45704</v>
      </c>
      <c r="D29" s="2" t="s">
        <v>238</v>
      </c>
      <c r="E29" s="2" t="s">
        <v>254</v>
      </c>
      <c r="F29" s="2" t="s">
        <v>240</v>
      </c>
      <c r="G29" s="2" t="s">
        <v>201</v>
      </c>
      <c r="H29" s="2" t="s">
        <v>250</v>
      </c>
      <c r="I29" s="2">
        <v>3</v>
      </c>
      <c r="J29" s="11">
        <v>5499</v>
      </c>
      <c r="K29" s="12">
        <v>0.05</v>
      </c>
      <c r="L29" s="2" t="s">
        <v>203</v>
      </c>
      <c r="M29" s="2" t="s">
        <v>195</v>
      </c>
      <c r="N29">
        <f>Table1[[#This Row],[Quantity]]*Table1[[#This Row],[Unit Price (₹)]]*(1-Table1[[#This Row],[Discount %]])</f>
        <v>15672.15</v>
      </c>
      <c r="O29" t="str">
        <f>TEXT(Table1[[#This Row],[Order Date]],"mmmm")</f>
        <v>February</v>
      </c>
      <c r="P29" t="str">
        <f>IF(Table1[[#This Row],[Revenue (₹)  ← add]]&gt;=15000,"High Value",IF(Table1[[#This Row],[Revenue (₹)  ← add]]&gt;=5000,"Medium","Low"))</f>
        <v>High Value</v>
      </c>
      <c r="Q29">
        <f>VLOOKUP(Table1[[#This Row],[Product]],Table2[],4,FALSE)</f>
        <v>3300</v>
      </c>
      <c r="R29">
        <f>Table1[[#This Row],[Revenue (₹)  ← add]]-Table1[[#This Row],[Cost Price  ← add]]</f>
        <v>12372.15</v>
      </c>
      <c r="S29">
        <f>IF(C29="", "",Table1[[#This Row],[Delivery Date]]-Table1[[#This Row],[Order Date]])</f>
        <v>6</v>
      </c>
      <c r="T29" t="str">
        <f>TEXT(Table1[[#This Row],[Order Date]],"DDDD")</f>
        <v>Monday</v>
      </c>
    </row>
    <row r="30" spans="1:23" x14ac:dyDescent="0.3">
      <c r="A30" s="2" t="s">
        <v>262</v>
      </c>
      <c r="B30" s="10">
        <v>45698</v>
      </c>
      <c r="C30" s="10">
        <v>45704</v>
      </c>
      <c r="D30" s="2" t="s">
        <v>205</v>
      </c>
      <c r="E30" s="2" t="s">
        <v>227</v>
      </c>
      <c r="F30" s="2" t="s">
        <v>207</v>
      </c>
      <c r="G30" s="2" t="s">
        <v>201</v>
      </c>
      <c r="H30" s="2" t="s">
        <v>250</v>
      </c>
      <c r="I30" s="2">
        <v>3</v>
      </c>
      <c r="J30" s="11">
        <v>5499</v>
      </c>
      <c r="K30" s="12">
        <v>0.2</v>
      </c>
      <c r="L30" s="2" t="s">
        <v>229</v>
      </c>
      <c r="M30" s="2" t="s">
        <v>195</v>
      </c>
      <c r="N30">
        <f>Table1[[#This Row],[Quantity]]*Table1[[#This Row],[Unit Price (₹)]]*(1-Table1[[#This Row],[Discount %]])</f>
        <v>13197.6</v>
      </c>
      <c r="O30" t="str">
        <f>TEXT(Table1[[#This Row],[Order Date]],"mmmm")</f>
        <v>February</v>
      </c>
      <c r="P30" t="str">
        <f>IF(Table1[[#This Row],[Revenue (₹)  ← add]]&gt;=15000,"High Value",IF(Table1[[#This Row],[Revenue (₹)  ← add]]&gt;=5000,"Medium","Low"))</f>
        <v>Medium</v>
      </c>
      <c r="Q30">
        <f>VLOOKUP(Table1[[#This Row],[Product]],Table2[],4,FALSE)</f>
        <v>3300</v>
      </c>
      <c r="R30">
        <f>Table1[[#This Row],[Revenue (₹)  ← add]]-Table1[[#This Row],[Cost Price  ← add]]</f>
        <v>9897.6</v>
      </c>
      <c r="S30">
        <f>IF(C30="", "",Table1[[#This Row],[Delivery Date]]-Table1[[#This Row],[Order Date]])</f>
        <v>6</v>
      </c>
      <c r="T30" t="str">
        <f>TEXT(Table1[[#This Row],[Order Date]],"DDDD")</f>
        <v>Monday</v>
      </c>
    </row>
    <row r="31" spans="1:23" x14ac:dyDescent="0.3">
      <c r="A31" s="2" t="s">
        <v>263</v>
      </c>
      <c r="B31" s="10">
        <v>45699</v>
      </c>
      <c r="C31" s="10">
        <v>45702</v>
      </c>
      <c r="D31" s="2" t="s">
        <v>238</v>
      </c>
      <c r="E31" s="2" t="s">
        <v>254</v>
      </c>
      <c r="F31" s="2" t="s">
        <v>244</v>
      </c>
      <c r="G31" s="2" t="s">
        <v>201</v>
      </c>
      <c r="H31" s="2" t="s">
        <v>202</v>
      </c>
      <c r="I31" s="2">
        <v>3</v>
      </c>
      <c r="J31" s="11">
        <v>8499</v>
      </c>
      <c r="K31" s="12">
        <v>0.1</v>
      </c>
      <c r="L31" s="2" t="s">
        <v>194</v>
      </c>
      <c r="M31" s="2" t="s">
        <v>195</v>
      </c>
      <c r="N31">
        <f>Table1[[#This Row],[Quantity]]*Table1[[#This Row],[Unit Price (₹)]]*(1-Table1[[#This Row],[Discount %]])</f>
        <v>22947.3</v>
      </c>
      <c r="O31" t="str">
        <f>TEXT(Table1[[#This Row],[Order Date]],"mmmm")</f>
        <v>February</v>
      </c>
      <c r="P31" t="str">
        <f>IF(Table1[[#This Row],[Revenue (₹)  ← add]]&gt;=15000,"High Value",IF(Table1[[#This Row],[Revenue (₹)  ← add]]&gt;=5000,"Medium","Low"))</f>
        <v>High Value</v>
      </c>
      <c r="Q31">
        <f>VLOOKUP(Table1[[#This Row],[Product]],Table2[],4,FALSE)</f>
        <v>5200</v>
      </c>
      <c r="R31">
        <f>Table1[[#This Row],[Revenue (₹)  ← add]]-Table1[[#This Row],[Cost Price  ← add]]</f>
        <v>17747.3</v>
      </c>
      <c r="S31">
        <f>IF(C31="", "",Table1[[#This Row],[Delivery Date]]-Table1[[#This Row],[Order Date]])</f>
        <v>3</v>
      </c>
      <c r="T31" t="str">
        <f>TEXT(Table1[[#This Row],[Order Date]],"DDDD")</f>
        <v>Tuesday</v>
      </c>
    </row>
    <row r="32" spans="1:23" x14ac:dyDescent="0.3">
      <c r="A32" s="2" t="s">
        <v>264</v>
      </c>
      <c r="B32" s="10">
        <v>45701</v>
      </c>
      <c r="C32" s="10">
        <v>45706</v>
      </c>
      <c r="D32" s="2" t="s">
        <v>222</v>
      </c>
      <c r="E32" s="2" t="s">
        <v>259</v>
      </c>
      <c r="F32" s="2" t="s">
        <v>224</v>
      </c>
      <c r="G32" s="2" t="s">
        <v>201</v>
      </c>
      <c r="H32" s="2" t="s">
        <v>250</v>
      </c>
      <c r="I32" s="2">
        <v>3</v>
      </c>
      <c r="J32" s="11">
        <v>5499</v>
      </c>
      <c r="K32" s="12">
        <v>0.05</v>
      </c>
      <c r="L32" s="2" t="s">
        <v>203</v>
      </c>
      <c r="M32" s="2" t="s">
        <v>195</v>
      </c>
      <c r="N32">
        <f>Table1[[#This Row],[Quantity]]*Table1[[#This Row],[Unit Price (₹)]]*(1-Table1[[#This Row],[Discount %]])</f>
        <v>15672.15</v>
      </c>
      <c r="O32" t="str">
        <f>TEXT(Table1[[#This Row],[Order Date]],"mmmm")</f>
        <v>February</v>
      </c>
      <c r="P32" t="str">
        <f>IF(Table1[[#This Row],[Revenue (₹)  ← add]]&gt;=15000,"High Value",IF(Table1[[#This Row],[Revenue (₹)  ← add]]&gt;=5000,"Medium","Low"))</f>
        <v>High Value</v>
      </c>
      <c r="Q32">
        <f>VLOOKUP(Table1[[#This Row],[Product]],Table2[],4,FALSE)</f>
        <v>3300</v>
      </c>
      <c r="R32">
        <f>Table1[[#This Row],[Revenue (₹)  ← add]]-Table1[[#This Row],[Cost Price  ← add]]</f>
        <v>12372.15</v>
      </c>
      <c r="S32">
        <f>IF(C32="", "",Table1[[#This Row],[Delivery Date]]-Table1[[#This Row],[Order Date]])</f>
        <v>5</v>
      </c>
      <c r="T32" t="str">
        <f>TEXT(Table1[[#This Row],[Order Date]],"DDDD")</f>
        <v>Thursday</v>
      </c>
    </row>
    <row r="33" spans="1:20" x14ac:dyDescent="0.3">
      <c r="A33" s="2" t="s">
        <v>265</v>
      </c>
      <c r="B33" s="10">
        <v>45704</v>
      </c>
      <c r="C33" s="10">
        <v>45710</v>
      </c>
      <c r="D33" s="2" t="s">
        <v>189</v>
      </c>
      <c r="E33" s="2" t="s">
        <v>190</v>
      </c>
      <c r="F33" s="2" t="s">
        <v>191</v>
      </c>
      <c r="G33" s="2" t="s">
        <v>201</v>
      </c>
      <c r="H33" s="2" t="s">
        <v>250</v>
      </c>
      <c r="I33" s="2">
        <v>3</v>
      </c>
      <c r="J33" s="11">
        <v>5499</v>
      </c>
      <c r="K33" s="12">
        <v>0</v>
      </c>
      <c r="L33" s="2" t="s">
        <v>225</v>
      </c>
      <c r="M33" s="2" t="s">
        <v>195</v>
      </c>
      <c r="N33">
        <f>Table1[[#This Row],[Quantity]]*Table1[[#This Row],[Unit Price (₹)]]*(1-Table1[[#This Row],[Discount %]])</f>
        <v>16497</v>
      </c>
      <c r="O33" t="str">
        <f>TEXT(Table1[[#This Row],[Order Date]],"mmmm")</f>
        <v>February</v>
      </c>
      <c r="P33" t="str">
        <f>IF(Table1[[#This Row],[Revenue (₹)  ← add]]&gt;=15000,"High Value",IF(Table1[[#This Row],[Revenue (₹)  ← add]]&gt;=5000,"Medium","Low"))</f>
        <v>High Value</v>
      </c>
      <c r="Q33">
        <f>VLOOKUP(Table1[[#This Row],[Product]],Table2[],4,FALSE)</f>
        <v>3300</v>
      </c>
      <c r="R33">
        <f>Table1[[#This Row],[Revenue (₹)  ← add]]-Table1[[#This Row],[Cost Price  ← add]]</f>
        <v>13197</v>
      </c>
      <c r="S33">
        <f>IF(C33="", "",Table1[[#This Row],[Delivery Date]]-Table1[[#This Row],[Order Date]])</f>
        <v>6</v>
      </c>
      <c r="T33" t="str">
        <f>TEXT(Table1[[#This Row],[Order Date]],"DDDD")</f>
        <v>Sunday</v>
      </c>
    </row>
    <row r="34" spans="1:20" x14ac:dyDescent="0.3">
      <c r="A34" s="2" t="s">
        <v>266</v>
      </c>
      <c r="B34" s="10">
        <v>45709</v>
      </c>
      <c r="C34" s="10">
        <v>45717</v>
      </c>
      <c r="D34" s="2" t="s">
        <v>222</v>
      </c>
      <c r="E34" s="2" t="s">
        <v>259</v>
      </c>
      <c r="F34" s="2" t="s">
        <v>224</v>
      </c>
      <c r="G34" s="2" t="s">
        <v>201</v>
      </c>
      <c r="H34" s="2" t="s">
        <v>202</v>
      </c>
      <c r="I34" s="2">
        <v>3</v>
      </c>
      <c r="J34" s="11">
        <v>8499</v>
      </c>
      <c r="K34" s="12">
        <v>0.1</v>
      </c>
      <c r="L34" s="2" t="s">
        <v>194</v>
      </c>
      <c r="M34" s="2" t="s">
        <v>195</v>
      </c>
      <c r="N34">
        <f>Table1[[#This Row],[Quantity]]*Table1[[#This Row],[Unit Price (₹)]]*(1-Table1[[#This Row],[Discount %]])</f>
        <v>22947.3</v>
      </c>
      <c r="O34" t="str">
        <f>TEXT(Table1[[#This Row],[Order Date]],"mmmm")</f>
        <v>February</v>
      </c>
      <c r="P34" t="str">
        <f>IF(Table1[[#This Row],[Revenue (₹)  ← add]]&gt;=15000,"High Value",IF(Table1[[#This Row],[Revenue (₹)  ← add]]&gt;=5000,"Medium","Low"))</f>
        <v>High Value</v>
      </c>
      <c r="Q34">
        <f>VLOOKUP(Table1[[#This Row],[Product]],Table2[],4,FALSE)</f>
        <v>5200</v>
      </c>
      <c r="R34">
        <f>Table1[[#This Row],[Revenue (₹)  ← add]]-Table1[[#This Row],[Cost Price  ← add]]</f>
        <v>17747.3</v>
      </c>
      <c r="S34">
        <f>IF(C34="", "",Table1[[#This Row],[Delivery Date]]-Table1[[#This Row],[Order Date]])</f>
        <v>8</v>
      </c>
      <c r="T34" t="str">
        <f>TEXT(Table1[[#This Row],[Order Date]],"DDDD")</f>
        <v>Friday</v>
      </c>
    </row>
    <row r="35" spans="1:20" x14ac:dyDescent="0.3">
      <c r="A35" s="2" t="s">
        <v>267</v>
      </c>
      <c r="B35" s="10">
        <v>45711</v>
      </c>
      <c r="C35" s="10">
        <v>45717</v>
      </c>
      <c r="D35" s="2" t="s">
        <v>189</v>
      </c>
      <c r="E35" s="2" t="s">
        <v>197</v>
      </c>
      <c r="F35" s="2" t="s">
        <v>191</v>
      </c>
      <c r="G35" s="2" t="s">
        <v>201</v>
      </c>
      <c r="H35" s="2" t="s">
        <v>202</v>
      </c>
      <c r="I35" s="2">
        <v>2</v>
      </c>
      <c r="J35" s="11">
        <v>8499</v>
      </c>
      <c r="K35" s="12">
        <v>0.05</v>
      </c>
      <c r="L35" s="2" t="s">
        <v>229</v>
      </c>
      <c r="M35" s="2" t="s">
        <v>195</v>
      </c>
      <c r="N35">
        <f>Table1[[#This Row],[Quantity]]*Table1[[#This Row],[Unit Price (₹)]]*(1-Table1[[#This Row],[Discount %]])</f>
        <v>16148.099999999999</v>
      </c>
      <c r="O35" t="str">
        <f>TEXT(Table1[[#This Row],[Order Date]],"mmmm")</f>
        <v>February</v>
      </c>
      <c r="P35" t="str">
        <f>IF(Table1[[#This Row],[Revenue (₹)  ← add]]&gt;=15000,"High Value",IF(Table1[[#This Row],[Revenue (₹)  ← add]]&gt;=5000,"Medium","Low"))</f>
        <v>High Value</v>
      </c>
      <c r="Q35">
        <f>VLOOKUP(Table1[[#This Row],[Product]],Table2[],4,FALSE)</f>
        <v>5200</v>
      </c>
      <c r="R35">
        <f>Table1[[#This Row],[Revenue (₹)  ← add]]-Table1[[#This Row],[Cost Price  ← add]]</f>
        <v>10948.099999999999</v>
      </c>
      <c r="S35">
        <f>IF(C35="", "",Table1[[#This Row],[Delivery Date]]-Table1[[#This Row],[Order Date]])</f>
        <v>6</v>
      </c>
      <c r="T35" t="str">
        <f>TEXT(Table1[[#This Row],[Order Date]],"DDDD")</f>
        <v>Sunday</v>
      </c>
    </row>
    <row r="36" spans="1:20" x14ac:dyDescent="0.3">
      <c r="A36" s="2" t="s">
        <v>268</v>
      </c>
      <c r="B36" s="10">
        <v>45711</v>
      </c>
      <c r="C36" s="10">
        <v>45714</v>
      </c>
      <c r="D36" s="2" t="s">
        <v>205</v>
      </c>
      <c r="E36" s="2" t="s">
        <v>210</v>
      </c>
      <c r="F36" s="2" t="s">
        <v>211</v>
      </c>
      <c r="G36" s="2" t="s">
        <v>192</v>
      </c>
      <c r="H36" s="2" t="s">
        <v>193</v>
      </c>
      <c r="I36" s="2">
        <v>22</v>
      </c>
      <c r="J36" s="11">
        <v>249</v>
      </c>
      <c r="K36" s="12">
        <v>0.15</v>
      </c>
      <c r="L36" s="2" t="s">
        <v>203</v>
      </c>
      <c r="M36" s="2" t="s">
        <v>195</v>
      </c>
      <c r="N36">
        <f>Table1[[#This Row],[Quantity]]*Table1[[#This Row],[Unit Price (₹)]]*(1-Table1[[#This Row],[Discount %]])</f>
        <v>4656.3</v>
      </c>
      <c r="O36" t="str">
        <f>TEXT(Table1[[#This Row],[Order Date]],"mmmm")</f>
        <v>February</v>
      </c>
      <c r="P36" t="str">
        <f>IF(Table1[[#This Row],[Revenue (₹)  ← add]]&gt;=15000,"High Value",IF(Table1[[#This Row],[Revenue (₹)  ← add]]&gt;=5000,"Medium","Low"))</f>
        <v>Low</v>
      </c>
      <c r="Q36">
        <f>VLOOKUP(Table1[[#This Row],[Product]],Table2[],4,FALSE)</f>
        <v>120</v>
      </c>
      <c r="R36">
        <f>Table1[[#This Row],[Revenue (₹)  ← add]]-Table1[[#This Row],[Cost Price  ← add]]</f>
        <v>4536.3</v>
      </c>
      <c r="S36">
        <f>IF(C36="", "",Table1[[#This Row],[Delivery Date]]-Table1[[#This Row],[Order Date]])</f>
        <v>3</v>
      </c>
      <c r="T36" t="str">
        <f>TEXT(Table1[[#This Row],[Order Date]],"DDDD")</f>
        <v>Sunday</v>
      </c>
    </row>
    <row r="37" spans="1:20" x14ac:dyDescent="0.3">
      <c r="A37" s="2" t="s">
        <v>269</v>
      </c>
      <c r="B37" s="10">
        <v>45713</v>
      </c>
      <c r="C37" s="10">
        <v>45722</v>
      </c>
      <c r="D37" s="2" t="s">
        <v>205</v>
      </c>
      <c r="E37" s="2" t="s">
        <v>227</v>
      </c>
      <c r="F37" s="2" t="s">
        <v>207</v>
      </c>
      <c r="G37" s="2" t="s">
        <v>198</v>
      </c>
      <c r="H37" s="2" t="s">
        <v>208</v>
      </c>
      <c r="I37" s="2">
        <v>4</v>
      </c>
      <c r="J37" s="11">
        <v>599</v>
      </c>
      <c r="K37" s="12">
        <v>0.05</v>
      </c>
      <c r="L37" s="2" t="s">
        <v>203</v>
      </c>
      <c r="M37" s="2" t="s">
        <v>195</v>
      </c>
      <c r="N37">
        <f>Table1[[#This Row],[Quantity]]*Table1[[#This Row],[Unit Price (₹)]]*(1-Table1[[#This Row],[Discount %]])</f>
        <v>2276.1999999999998</v>
      </c>
      <c r="O37" t="str">
        <f>TEXT(Table1[[#This Row],[Order Date]],"mmmm")</f>
        <v>February</v>
      </c>
      <c r="P37" t="str">
        <f>IF(Table1[[#This Row],[Revenue (₹)  ← add]]&gt;=15000,"High Value",IF(Table1[[#This Row],[Revenue (₹)  ← add]]&gt;=5000,"Medium","Low"))</f>
        <v>Low</v>
      </c>
      <c r="Q37">
        <f>VLOOKUP(Table1[[#This Row],[Product]],Table2[],4,FALSE)</f>
        <v>300</v>
      </c>
      <c r="R37">
        <f>Table1[[#This Row],[Revenue (₹)  ← add]]-Table1[[#This Row],[Cost Price  ← add]]</f>
        <v>1976.1999999999998</v>
      </c>
      <c r="S37">
        <f>IF(C37="", "",Table1[[#This Row],[Delivery Date]]-Table1[[#This Row],[Order Date]])</f>
        <v>9</v>
      </c>
      <c r="T37" t="str">
        <f>TEXT(Table1[[#This Row],[Order Date]],"DDDD")</f>
        <v>Tuesday</v>
      </c>
    </row>
    <row r="38" spans="1:20" x14ac:dyDescent="0.3">
      <c r="A38" s="2" t="s">
        <v>270</v>
      </c>
      <c r="B38" s="10">
        <v>45717</v>
      </c>
      <c r="C38" s="10">
        <v>45722</v>
      </c>
      <c r="D38" s="2" t="s">
        <v>205</v>
      </c>
      <c r="E38" s="2" t="s">
        <v>227</v>
      </c>
      <c r="F38" s="2" t="s">
        <v>207</v>
      </c>
      <c r="G38" s="2" t="s">
        <v>217</v>
      </c>
      <c r="H38" s="2" t="s">
        <v>218</v>
      </c>
      <c r="I38" s="2">
        <v>1</v>
      </c>
      <c r="J38" s="11">
        <v>1499</v>
      </c>
      <c r="K38" s="12">
        <v>0.2</v>
      </c>
      <c r="L38" s="2" t="s">
        <v>203</v>
      </c>
      <c r="M38" s="2" t="s">
        <v>195</v>
      </c>
      <c r="N38">
        <f>Table1[[#This Row],[Quantity]]*Table1[[#This Row],[Unit Price (₹)]]*(1-Table1[[#This Row],[Discount %]])</f>
        <v>1199.2</v>
      </c>
      <c r="O38" t="str">
        <f>TEXT(Table1[[#This Row],[Order Date]],"mmmm")</f>
        <v>March</v>
      </c>
      <c r="P38" t="str">
        <f>IF(Table1[[#This Row],[Revenue (₹)  ← add]]&gt;=15000,"High Value",IF(Table1[[#This Row],[Revenue (₹)  ← add]]&gt;=5000,"Medium","Low"))</f>
        <v>Low</v>
      </c>
      <c r="Q38">
        <f>VLOOKUP(Table1[[#This Row],[Product]],Table2[],4,FALSE)</f>
        <v>850</v>
      </c>
      <c r="R38">
        <f>Table1[[#This Row],[Revenue (₹)  ← add]]-Table1[[#This Row],[Cost Price  ← add]]</f>
        <v>349.20000000000005</v>
      </c>
      <c r="S38">
        <f>IF(C38="", "",Table1[[#This Row],[Delivery Date]]-Table1[[#This Row],[Order Date]])</f>
        <v>5</v>
      </c>
      <c r="T38" t="str">
        <f>TEXT(Table1[[#This Row],[Order Date]],"DDDD")</f>
        <v>Saturday</v>
      </c>
    </row>
    <row r="39" spans="1:20" x14ac:dyDescent="0.3">
      <c r="A39" s="2" t="s">
        <v>271</v>
      </c>
      <c r="B39" s="10">
        <v>45718</v>
      </c>
      <c r="C39" s="10">
        <v>45727</v>
      </c>
      <c r="D39" s="2" t="s">
        <v>238</v>
      </c>
      <c r="E39" s="2" t="s">
        <v>239</v>
      </c>
      <c r="F39" s="2" t="s">
        <v>240</v>
      </c>
      <c r="G39" s="2" t="s">
        <v>198</v>
      </c>
      <c r="H39" s="2" t="s">
        <v>199</v>
      </c>
      <c r="I39" s="2">
        <v>2</v>
      </c>
      <c r="J39" s="11">
        <v>2999</v>
      </c>
      <c r="K39" s="12">
        <v>0</v>
      </c>
      <c r="L39" s="2" t="s">
        <v>229</v>
      </c>
      <c r="M39" s="2" t="s">
        <v>195</v>
      </c>
      <c r="N39">
        <f>Table1[[#This Row],[Quantity]]*Table1[[#This Row],[Unit Price (₹)]]*(1-Table1[[#This Row],[Discount %]])</f>
        <v>5998</v>
      </c>
      <c r="O39" t="str">
        <f>TEXT(Table1[[#This Row],[Order Date]],"mmmm")</f>
        <v>March</v>
      </c>
      <c r="P39" t="str">
        <f>IF(Table1[[#This Row],[Revenue (₹)  ← add]]&gt;=15000,"High Value",IF(Table1[[#This Row],[Revenue (₹)  ← add]]&gt;=5000,"Medium","Low"))</f>
        <v>Medium</v>
      </c>
      <c r="Q39">
        <f>VLOOKUP(Table1[[#This Row],[Product]],Table2[],4,FALSE)</f>
        <v>1700</v>
      </c>
      <c r="R39">
        <f>Table1[[#This Row],[Revenue (₹)  ← add]]-Table1[[#This Row],[Cost Price  ← add]]</f>
        <v>4298</v>
      </c>
      <c r="S39">
        <f>IF(C39="", "",Table1[[#This Row],[Delivery Date]]-Table1[[#This Row],[Order Date]])</f>
        <v>9</v>
      </c>
      <c r="T39" t="str">
        <f>TEXT(Table1[[#This Row],[Order Date]],"DDDD")</f>
        <v>Sunday</v>
      </c>
    </row>
    <row r="40" spans="1:20" x14ac:dyDescent="0.3">
      <c r="A40" s="2" t="s">
        <v>272</v>
      </c>
      <c r="B40" s="10">
        <v>45719</v>
      </c>
      <c r="C40" s="10">
        <v>45725</v>
      </c>
      <c r="D40" s="2" t="s">
        <v>205</v>
      </c>
      <c r="E40" s="2" t="s">
        <v>206</v>
      </c>
      <c r="F40" s="2" t="s">
        <v>207</v>
      </c>
      <c r="G40" s="2" t="s">
        <v>192</v>
      </c>
      <c r="H40" s="2" t="s">
        <v>234</v>
      </c>
      <c r="I40" s="2">
        <v>8</v>
      </c>
      <c r="J40" s="11">
        <v>599</v>
      </c>
      <c r="K40" s="12">
        <v>0.2</v>
      </c>
      <c r="L40" s="2" t="s">
        <v>203</v>
      </c>
      <c r="M40" s="2" t="s">
        <v>219</v>
      </c>
      <c r="N40">
        <f>Table1[[#This Row],[Quantity]]*Table1[[#This Row],[Unit Price (₹)]]*(1-Table1[[#This Row],[Discount %]])</f>
        <v>3833.6000000000004</v>
      </c>
      <c r="O40" t="str">
        <f>TEXT(Table1[[#This Row],[Order Date]],"mmmm")</f>
        <v>March</v>
      </c>
      <c r="P40" t="str">
        <f>IF(Table1[[#This Row],[Revenue (₹)  ← add]]&gt;=15000,"High Value",IF(Table1[[#This Row],[Revenue (₹)  ← add]]&gt;=5000,"Medium","Low"))</f>
        <v>Low</v>
      </c>
      <c r="Q40">
        <f>VLOOKUP(Table1[[#This Row],[Product]],Table2[],4,FALSE)</f>
        <v>320</v>
      </c>
      <c r="R40">
        <f>Table1[[#This Row],[Revenue (₹)  ← add]]-Table1[[#This Row],[Cost Price  ← add]]</f>
        <v>3513.6000000000004</v>
      </c>
      <c r="S40">
        <f>IF(C40="", "",Table1[[#This Row],[Delivery Date]]-Table1[[#This Row],[Order Date]])</f>
        <v>6</v>
      </c>
      <c r="T40" t="str">
        <f>TEXT(Table1[[#This Row],[Order Date]],"DDDD")</f>
        <v>Monday</v>
      </c>
    </row>
    <row r="41" spans="1:20" x14ac:dyDescent="0.3">
      <c r="A41" s="2" t="s">
        <v>273</v>
      </c>
      <c r="B41" s="10">
        <v>45720</v>
      </c>
      <c r="C41" s="10">
        <v>45729</v>
      </c>
      <c r="D41" s="2" t="s">
        <v>189</v>
      </c>
      <c r="E41" s="2" t="s">
        <v>197</v>
      </c>
      <c r="F41" s="2" t="s">
        <v>191</v>
      </c>
      <c r="G41" s="2" t="s">
        <v>192</v>
      </c>
      <c r="H41" s="2" t="s">
        <v>234</v>
      </c>
      <c r="I41" s="2">
        <v>14</v>
      </c>
      <c r="J41" s="11">
        <v>599</v>
      </c>
      <c r="K41" s="12">
        <v>0</v>
      </c>
      <c r="L41" s="2" t="s">
        <v>194</v>
      </c>
      <c r="M41" s="2" t="s">
        <v>195</v>
      </c>
      <c r="N41">
        <f>Table1[[#This Row],[Quantity]]*Table1[[#This Row],[Unit Price (₹)]]*(1-Table1[[#This Row],[Discount %]])</f>
        <v>8386</v>
      </c>
      <c r="O41" t="str">
        <f>TEXT(Table1[[#This Row],[Order Date]],"mmmm")</f>
        <v>March</v>
      </c>
      <c r="P41" t="str">
        <f>IF(Table1[[#This Row],[Revenue (₹)  ← add]]&gt;=15000,"High Value",IF(Table1[[#This Row],[Revenue (₹)  ← add]]&gt;=5000,"Medium","Low"))</f>
        <v>Medium</v>
      </c>
      <c r="Q41">
        <f>VLOOKUP(Table1[[#This Row],[Product]],Table2[],4,FALSE)</f>
        <v>320</v>
      </c>
      <c r="R41">
        <f>Table1[[#This Row],[Revenue (₹)  ← add]]-Table1[[#This Row],[Cost Price  ← add]]</f>
        <v>8066</v>
      </c>
      <c r="S41">
        <f>IF(C41="", "",Table1[[#This Row],[Delivery Date]]-Table1[[#This Row],[Order Date]])</f>
        <v>9</v>
      </c>
      <c r="T41" t="str">
        <f>TEXT(Table1[[#This Row],[Order Date]],"DDDD")</f>
        <v>Tuesday</v>
      </c>
    </row>
    <row r="42" spans="1:20" x14ac:dyDescent="0.3">
      <c r="A42" s="2" t="s">
        <v>274</v>
      </c>
      <c r="B42" s="10">
        <v>45720</v>
      </c>
      <c r="C42" s="10"/>
      <c r="D42" s="2" t="s">
        <v>205</v>
      </c>
      <c r="E42" s="2" t="s">
        <v>206</v>
      </c>
      <c r="F42" s="2" t="s">
        <v>207</v>
      </c>
      <c r="G42" s="2" t="s">
        <v>217</v>
      </c>
      <c r="H42" s="2" t="s">
        <v>228</v>
      </c>
      <c r="I42" s="2">
        <v>6</v>
      </c>
      <c r="J42" s="11">
        <v>799</v>
      </c>
      <c r="K42" s="12">
        <v>0.15</v>
      </c>
      <c r="L42" s="2" t="s">
        <v>225</v>
      </c>
      <c r="M42" s="2" t="s">
        <v>215</v>
      </c>
      <c r="N42">
        <f>Table1[[#This Row],[Quantity]]*Table1[[#This Row],[Unit Price (₹)]]*(1-Table1[[#This Row],[Discount %]])</f>
        <v>4074.9</v>
      </c>
      <c r="O42" t="str">
        <f>TEXT(Table1[[#This Row],[Order Date]],"mmmm")</f>
        <v>March</v>
      </c>
      <c r="P42" t="str">
        <f>IF(Table1[[#This Row],[Revenue (₹)  ← add]]&gt;=15000,"High Value",IF(Table1[[#This Row],[Revenue (₹)  ← add]]&gt;=5000,"Medium","Low"))</f>
        <v>Low</v>
      </c>
      <c r="Q42">
        <f>VLOOKUP(Table1[[#This Row],[Product]],Table2[],4,FALSE)</f>
        <v>450</v>
      </c>
      <c r="R42">
        <f>Table1[[#This Row],[Revenue (₹)  ← add]]-Table1[[#This Row],[Cost Price  ← add]]</f>
        <v>3624.9</v>
      </c>
      <c r="S42" t="str">
        <f>IF(C42="", "",Table1[[#This Row],[Delivery Date]]-Table1[[#This Row],[Order Date]])</f>
        <v/>
      </c>
      <c r="T42" t="str">
        <f>TEXT(Table1[[#This Row],[Order Date]],"DDDD")</f>
        <v>Tuesday</v>
      </c>
    </row>
    <row r="43" spans="1:20" x14ac:dyDescent="0.3">
      <c r="A43" s="2" t="s">
        <v>275</v>
      </c>
      <c r="B43" s="10">
        <v>45725</v>
      </c>
      <c r="C43" s="10">
        <v>45727</v>
      </c>
      <c r="D43" s="2" t="s">
        <v>238</v>
      </c>
      <c r="E43" s="2" t="s">
        <v>254</v>
      </c>
      <c r="F43" s="2" t="s">
        <v>240</v>
      </c>
      <c r="G43" s="2" t="s">
        <v>192</v>
      </c>
      <c r="H43" s="2" t="s">
        <v>193</v>
      </c>
      <c r="I43" s="2">
        <v>6</v>
      </c>
      <c r="J43" s="11">
        <v>249</v>
      </c>
      <c r="K43" s="12">
        <v>0</v>
      </c>
      <c r="L43" s="2" t="s">
        <v>214</v>
      </c>
      <c r="M43" s="2" t="s">
        <v>195</v>
      </c>
      <c r="N43">
        <f>Table1[[#This Row],[Quantity]]*Table1[[#This Row],[Unit Price (₹)]]*(1-Table1[[#This Row],[Discount %]])</f>
        <v>1494</v>
      </c>
      <c r="O43" t="str">
        <f>TEXT(Table1[[#This Row],[Order Date]],"mmmm")</f>
        <v>March</v>
      </c>
      <c r="P43" t="str">
        <f>IF(Table1[[#This Row],[Revenue (₹)  ← add]]&gt;=15000,"High Value",IF(Table1[[#This Row],[Revenue (₹)  ← add]]&gt;=5000,"Medium","Low"))</f>
        <v>Low</v>
      </c>
      <c r="Q43">
        <f>VLOOKUP(Table1[[#This Row],[Product]],Table2[],4,FALSE)</f>
        <v>120</v>
      </c>
      <c r="R43">
        <f>Table1[[#This Row],[Revenue (₹)  ← add]]-Table1[[#This Row],[Cost Price  ← add]]</f>
        <v>1374</v>
      </c>
      <c r="S43">
        <f>IF(C43="", "",Table1[[#This Row],[Delivery Date]]-Table1[[#This Row],[Order Date]])</f>
        <v>2</v>
      </c>
      <c r="T43" t="str">
        <f>TEXT(Table1[[#This Row],[Order Date]],"DDDD")</f>
        <v>Sunday</v>
      </c>
    </row>
    <row r="44" spans="1:20" x14ac:dyDescent="0.3">
      <c r="A44" s="2" t="s">
        <v>276</v>
      </c>
      <c r="B44" s="10">
        <v>45725</v>
      </c>
      <c r="C44" s="10">
        <v>45734</v>
      </c>
      <c r="D44" s="2" t="s">
        <v>189</v>
      </c>
      <c r="E44" s="2" t="s">
        <v>277</v>
      </c>
      <c r="F44" s="2" t="s">
        <v>213</v>
      </c>
      <c r="G44" s="2" t="s">
        <v>192</v>
      </c>
      <c r="H44" s="2" t="s">
        <v>247</v>
      </c>
      <c r="I44" s="2">
        <v>7</v>
      </c>
      <c r="J44" s="11">
        <v>349</v>
      </c>
      <c r="K44" s="12">
        <v>0.1</v>
      </c>
      <c r="L44" s="2" t="s">
        <v>203</v>
      </c>
      <c r="M44" s="2" t="s">
        <v>195</v>
      </c>
      <c r="N44">
        <f>Table1[[#This Row],[Quantity]]*Table1[[#This Row],[Unit Price (₹)]]*(1-Table1[[#This Row],[Discount %]])</f>
        <v>2198.7000000000003</v>
      </c>
      <c r="O44" t="str">
        <f>TEXT(Table1[[#This Row],[Order Date]],"mmmm")</f>
        <v>March</v>
      </c>
      <c r="P44" t="str">
        <f>IF(Table1[[#This Row],[Revenue (₹)  ← add]]&gt;=15000,"High Value",IF(Table1[[#This Row],[Revenue (₹)  ← add]]&gt;=5000,"Medium","Low"))</f>
        <v>Low</v>
      </c>
      <c r="Q44">
        <f>VLOOKUP(Table1[[#This Row],[Product]],Table2[],4,FALSE)</f>
        <v>180</v>
      </c>
      <c r="R44">
        <f>Table1[[#This Row],[Revenue (₹)  ← add]]-Table1[[#This Row],[Cost Price  ← add]]</f>
        <v>2018.7000000000003</v>
      </c>
      <c r="S44">
        <f>IF(C44="", "",Table1[[#This Row],[Delivery Date]]-Table1[[#This Row],[Order Date]])</f>
        <v>9</v>
      </c>
      <c r="T44" t="str">
        <f>TEXT(Table1[[#This Row],[Order Date]],"DDDD")</f>
        <v>Sunday</v>
      </c>
    </row>
    <row r="45" spans="1:20" x14ac:dyDescent="0.3">
      <c r="A45" s="2" t="s">
        <v>278</v>
      </c>
      <c r="B45" s="10">
        <v>45727</v>
      </c>
      <c r="C45" s="10">
        <v>45733</v>
      </c>
      <c r="D45" s="2" t="s">
        <v>222</v>
      </c>
      <c r="E45" s="2" t="s">
        <v>223</v>
      </c>
      <c r="F45" s="2" t="s">
        <v>249</v>
      </c>
      <c r="G45" s="2" t="s">
        <v>201</v>
      </c>
      <c r="H45" s="2" t="s">
        <v>250</v>
      </c>
      <c r="I45" s="2">
        <v>2</v>
      </c>
      <c r="J45" s="11">
        <v>5499</v>
      </c>
      <c r="K45" s="12">
        <v>0.2</v>
      </c>
      <c r="L45" s="2" t="s">
        <v>203</v>
      </c>
      <c r="M45" s="2" t="s">
        <v>195</v>
      </c>
      <c r="N45">
        <f>Table1[[#This Row],[Quantity]]*Table1[[#This Row],[Unit Price (₹)]]*(1-Table1[[#This Row],[Discount %]])</f>
        <v>8798.4</v>
      </c>
      <c r="O45" t="str">
        <f>TEXT(Table1[[#This Row],[Order Date]],"mmmm")</f>
        <v>March</v>
      </c>
      <c r="P45" t="str">
        <f>IF(Table1[[#This Row],[Revenue (₹)  ← add]]&gt;=15000,"High Value",IF(Table1[[#This Row],[Revenue (₹)  ← add]]&gt;=5000,"Medium","Low"))</f>
        <v>Medium</v>
      </c>
      <c r="Q45">
        <f>VLOOKUP(Table1[[#This Row],[Product]],Table2[],4,FALSE)</f>
        <v>3300</v>
      </c>
      <c r="R45">
        <f>Table1[[#This Row],[Revenue (₹)  ← add]]-Table1[[#This Row],[Cost Price  ← add]]</f>
        <v>5498.4</v>
      </c>
      <c r="S45">
        <f>IF(C45="", "",Table1[[#This Row],[Delivery Date]]-Table1[[#This Row],[Order Date]])</f>
        <v>6</v>
      </c>
      <c r="T45" t="str">
        <f>TEXT(Table1[[#This Row],[Order Date]],"DDDD")</f>
        <v>Tuesday</v>
      </c>
    </row>
    <row r="46" spans="1:20" x14ac:dyDescent="0.3">
      <c r="A46" s="2" t="s">
        <v>279</v>
      </c>
      <c r="B46" s="10">
        <v>45727</v>
      </c>
      <c r="C46" s="10">
        <v>45730</v>
      </c>
      <c r="D46" s="2" t="s">
        <v>238</v>
      </c>
      <c r="E46" s="2" t="s">
        <v>239</v>
      </c>
      <c r="F46" s="2" t="s">
        <v>244</v>
      </c>
      <c r="G46" s="2" t="s">
        <v>217</v>
      </c>
      <c r="H46" s="2" t="s">
        <v>236</v>
      </c>
      <c r="I46" s="2">
        <v>4</v>
      </c>
      <c r="J46" s="11">
        <v>2499</v>
      </c>
      <c r="K46" s="12">
        <v>0</v>
      </c>
      <c r="L46" s="2" t="s">
        <v>203</v>
      </c>
      <c r="M46" s="2" t="s">
        <v>195</v>
      </c>
      <c r="N46">
        <f>Table1[[#This Row],[Quantity]]*Table1[[#This Row],[Unit Price (₹)]]*(1-Table1[[#This Row],[Discount %]])</f>
        <v>9996</v>
      </c>
      <c r="O46" t="str">
        <f>TEXT(Table1[[#This Row],[Order Date]],"mmmm")</f>
        <v>March</v>
      </c>
      <c r="P46" t="str">
        <f>IF(Table1[[#This Row],[Revenue (₹)  ← add]]&gt;=15000,"High Value",IF(Table1[[#This Row],[Revenue (₹)  ← add]]&gt;=5000,"Medium","Low"))</f>
        <v>Medium</v>
      </c>
      <c r="Q46">
        <f>VLOOKUP(Table1[[#This Row],[Product]],Table2[],4,FALSE)</f>
        <v>1500</v>
      </c>
      <c r="R46">
        <f>Table1[[#This Row],[Revenue (₹)  ← add]]-Table1[[#This Row],[Cost Price  ← add]]</f>
        <v>8496</v>
      </c>
      <c r="S46">
        <f>IF(C46="", "",Table1[[#This Row],[Delivery Date]]-Table1[[#This Row],[Order Date]])</f>
        <v>3</v>
      </c>
      <c r="T46" t="str">
        <f>TEXT(Table1[[#This Row],[Order Date]],"DDDD")</f>
        <v>Tuesday</v>
      </c>
    </row>
    <row r="47" spans="1:20" x14ac:dyDescent="0.3">
      <c r="A47" s="2" t="s">
        <v>280</v>
      </c>
      <c r="B47" s="10">
        <v>45729</v>
      </c>
      <c r="C47" s="10">
        <v>45732</v>
      </c>
      <c r="D47" s="2" t="s">
        <v>189</v>
      </c>
      <c r="E47" s="2" t="s">
        <v>197</v>
      </c>
      <c r="F47" s="2" t="s">
        <v>191</v>
      </c>
      <c r="G47" s="2" t="s">
        <v>192</v>
      </c>
      <c r="H47" s="2" t="s">
        <v>234</v>
      </c>
      <c r="I47" s="2">
        <v>9</v>
      </c>
      <c r="J47" s="11">
        <v>599</v>
      </c>
      <c r="K47" s="12">
        <v>0.1</v>
      </c>
      <c r="L47" s="2" t="s">
        <v>194</v>
      </c>
      <c r="M47" s="2" t="s">
        <v>195</v>
      </c>
      <c r="N47">
        <f>Table1[[#This Row],[Quantity]]*Table1[[#This Row],[Unit Price (₹)]]*(1-Table1[[#This Row],[Discount %]])</f>
        <v>4851.9000000000005</v>
      </c>
      <c r="O47" t="str">
        <f>TEXT(Table1[[#This Row],[Order Date]],"mmmm")</f>
        <v>March</v>
      </c>
      <c r="P47" t="str">
        <f>IF(Table1[[#This Row],[Revenue (₹)  ← add]]&gt;=15000,"High Value",IF(Table1[[#This Row],[Revenue (₹)  ← add]]&gt;=5000,"Medium","Low"))</f>
        <v>Low</v>
      </c>
      <c r="Q47">
        <f>VLOOKUP(Table1[[#This Row],[Product]],Table2[],4,FALSE)</f>
        <v>320</v>
      </c>
      <c r="R47">
        <f>Table1[[#This Row],[Revenue (₹)  ← add]]-Table1[[#This Row],[Cost Price  ← add]]</f>
        <v>4531.9000000000005</v>
      </c>
      <c r="S47">
        <f>IF(C47="", "",Table1[[#This Row],[Delivery Date]]-Table1[[#This Row],[Order Date]])</f>
        <v>3</v>
      </c>
      <c r="T47" t="str">
        <f>TEXT(Table1[[#This Row],[Order Date]],"DDDD")</f>
        <v>Thursday</v>
      </c>
    </row>
    <row r="48" spans="1:20" x14ac:dyDescent="0.3">
      <c r="A48" s="2" t="s">
        <v>281</v>
      </c>
      <c r="B48" s="10">
        <v>45734</v>
      </c>
      <c r="C48" s="10">
        <v>45743</v>
      </c>
      <c r="D48" s="2" t="s">
        <v>238</v>
      </c>
      <c r="E48" s="2" t="s">
        <v>254</v>
      </c>
      <c r="F48" s="2" t="s">
        <v>244</v>
      </c>
      <c r="G48" s="2" t="s">
        <v>217</v>
      </c>
      <c r="H48" s="2" t="s">
        <v>255</v>
      </c>
      <c r="I48" s="2">
        <v>3</v>
      </c>
      <c r="J48" s="11">
        <v>1999</v>
      </c>
      <c r="K48" s="12">
        <v>0.2</v>
      </c>
      <c r="L48" s="2" t="s">
        <v>203</v>
      </c>
      <c r="M48" s="2" t="s">
        <v>219</v>
      </c>
      <c r="N48">
        <f>Table1[[#This Row],[Quantity]]*Table1[[#This Row],[Unit Price (₹)]]*(1-Table1[[#This Row],[Discount %]])</f>
        <v>4797.6000000000004</v>
      </c>
      <c r="O48" t="str">
        <f>TEXT(Table1[[#This Row],[Order Date]],"mmmm")</f>
        <v>March</v>
      </c>
      <c r="P48" t="str">
        <f>IF(Table1[[#This Row],[Revenue (₹)  ← add]]&gt;=15000,"High Value",IF(Table1[[#This Row],[Revenue (₹)  ← add]]&gt;=5000,"Medium","Low"))</f>
        <v>Low</v>
      </c>
      <c r="Q48">
        <f>VLOOKUP(Table1[[#This Row],[Product]],Table2[],4,FALSE)</f>
        <v>1100</v>
      </c>
      <c r="R48">
        <f>Table1[[#This Row],[Revenue (₹)  ← add]]-Table1[[#This Row],[Cost Price  ← add]]</f>
        <v>3697.6000000000004</v>
      </c>
      <c r="S48">
        <f>IF(C48="", "",Table1[[#This Row],[Delivery Date]]-Table1[[#This Row],[Order Date]])</f>
        <v>9</v>
      </c>
      <c r="T48" t="str">
        <f>TEXT(Table1[[#This Row],[Order Date]],"DDDD")</f>
        <v>Tuesday</v>
      </c>
    </row>
    <row r="49" spans="1:20" x14ac:dyDescent="0.3">
      <c r="A49" s="2" t="s">
        <v>282</v>
      </c>
      <c r="B49" s="10">
        <v>45742</v>
      </c>
      <c r="C49" s="10">
        <v>45748</v>
      </c>
      <c r="D49" s="2" t="s">
        <v>189</v>
      </c>
      <c r="E49" s="2" t="s">
        <v>197</v>
      </c>
      <c r="F49" s="2" t="s">
        <v>213</v>
      </c>
      <c r="G49" s="2" t="s">
        <v>201</v>
      </c>
      <c r="H49" s="2" t="s">
        <v>250</v>
      </c>
      <c r="I49" s="2">
        <v>3</v>
      </c>
      <c r="J49" s="11">
        <v>5499</v>
      </c>
      <c r="K49" s="12">
        <v>0.2</v>
      </c>
      <c r="L49" s="2" t="s">
        <v>203</v>
      </c>
      <c r="M49" s="2" t="s">
        <v>195</v>
      </c>
      <c r="N49">
        <f>Table1[[#This Row],[Quantity]]*Table1[[#This Row],[Unit Price (₹)]]*(1-Table1[[#This Row],[Discount %]])</f>
        <v>13197.6</v>
      </c>
      <c r="O49" t="str">
        <f>TEXT(Table1[[#This Row],[Order Date]],"mmmm")</f>
        <v>March</v>
      </c>
      <c r="P49" t="str">
        <f>IF(Table1[[#This Row],[Revenue (₹)  ← add]]&gt;=15000,"High Value",IF(Table1[[#This Row],[Revenue (₹)  ← add]]&gt;=5000,"Medium","Low"))</f>
        <v>Medium</v>
      </c>
      <c r="Q49">
        <f>VLOOKUP(Table1[[#This Row],[Product]],Table2[],4,FALSE)</f>
        <v>3300</v>
      </c>
      <c r="R49">
        <f>Table1[[#This Row],[Revenue (₹)  ← add]]-Table1[[#This Row],[Cost Price  ← add]]</f>
        <v>9897.6</v>
      </c>
      <c r="S49">
        <f>IF(C49="", "",Table1[[#This Row],[Delivery Date]]-Table1[[#This Row],[Order Date]])</f>
        <v>6</v>
      </c>
      <c r="T49" t="str">
        <f>TEXT(Table1[[#This Row],[Order Date]],"DDDD")</f>
        <v>Wednesday</v>
      </c>
    </row>
    <row r="50" spans="1:20" x14ac:dyDescent="0.3">
      <c r="A50" s="2" t="s">
        <v>283</v>
      </c>
      <c r="B50" s="10">
        <v>45745</v>
      </c>
      <c r="C50" s="10"/>
      <c r="D50" s="2" t="s">
        <v>238</v>
      </c>
      <c r="E50" s="2" t="s">
        <v>254</v>
      </c>
      <c r="F50" s="2" t="s">
        <v>244</v>
      </c>
      <c r="G50" s="2" t="s">
        <v>217</v>
      </c>
      <c r="H50" s="2" t="s">
        <v>236</v>
      </c>
      <c r="I50" s="2">
        <v>6</v>
      </c>
      <c r="J50" s="11">
        <v>2499</v>
      </c>
      <c r="K50" s="12">
        <v>0.1</v>
      </c>
      <c r="L50" s="2" t="s">
        <v>229</v>
      </c>
      <c r="M50" s="2" t="s">
        <v>215</v>
      </c>
      <c r="N50">
        <f>Table1[[#This Row],[Quantity]]*Table1[[#This Row],[Unit Price (₹)]]*(1-Table1[[#This Row],[Discount %]])</f>
        <v>13494.6</v>
      </c>
      <c r="O50" t="str">
        <f>TEXT(Table1[[#This Row],[Order Date]],"mmmm")</f>
        <v>March</v>
      </c>
      <c r="P50" t="str">
        <f>IF(Table1[[#This Row],[Revenue (₹)  ← add]]&gt;=15000,"High Value",IF(Table1[[#This Row],[Revenue (₹)  ← add]]&gt;=5000,"Medium","Low"))</f>
        <v>Medium</v>
      </c>
      <c r="Q50">
        <f>VLOOKUP(Table1[[#This Row],[Product]],Table2[],4,FALSE)</f>
        <v>1500</v>
      </c>
      <c r="R50">
        <f>Table1[[#This Row],[Revenue (₹)  ← add]]-Table1[[#This Row],[Cost Price  ← add]]</f>
        <v>11994.6</v>
      </c>
      <c r="S50" t="str">
        <f>IF(C50="", "",Table1[[#This Row],[Delivery Date]]-Table1[[#This Row],[Order Date]])</f>
        <v/>
      </c>
      <c r="T50" t="str">
        <f>TEXT(Table1[[#This Row],[Order Date]],"DDDD")</f>
        <v>Saturday</v>
      </c>
    </row>
    <row r="51" spans="1:20" x14ac:dyDescent="0.3">
      <c r="A51" s="2" t="s">
        <v>284</v>
      </c>
      <c r="B51" s="10">
        <v>45746</v>
      </c>
      <c r="C51" s="10">
        <v>45753</v>
      </c>
      <c r="D51" s="2" t="s">
        <v>189</v>
      </c>
      <c r="E51" s="2" t="s">
        <v>197</v>
      </c>
      <c r="F51" s="2" t="s">
        <v>191</v>
      </c>
      <c r="G51" s="2" t="s">
        <v>198</v>
      </c>
      <c r="H51" s="2" t="s">
        <v>199</v>
      </c>
      <c r="I51" s="2">
        <v>4</v>
      </c>
      <c r="J51" s="11">
        <v>2999</v>
      </c>
      <c r="K51" s="12">
        <v>0.1</v>
      </c>
      <c r="L51" s="2" t="s">
        <v>203</v>
      </c>
      <c r="M51" s="2" t="s">
        <v>195</v>
      </c>
      <c r="N51">
        <f>Table1[[#This Row],[Quantity]]*Table1[[#This Row],[Unit Price (₹)]]*(1-Table1[[#This Row],[Discount %]])</f>
        <v>10796.4</v>
      </c>
      <c r="O51" t="str">
        <f>TEXT(Table1[[#This Row],[Order Date]],"mmmm")</f>
        <v>March</v>
      </c>
      <c r="P51" t="str">
        <f>IF(Table1[[#This Row],[Revenue (₹)  ← add]]&gt;=15000,"High Value",IF(Table1[[#This Row],[Revenue (₹)  ← add]]&gt;=5000,"Medium","Low"))</f>
        <v>Medium</v>
      </c>
      <c r="Q51">
        <f>VLOOKUP(Table1[[#This Row],[Product]],Table2[],4,FALSE)</f>
        <v>1700</v>
      </c>
      <c r="R51">
        <f>Table1[[#This Row],[Revenue (₹)  ← add]]-Table1[[#This Row],[Cost Price  ← add]]</f>
        <v>9096.4</v>
      </c>
      <c r="S51">
        <f>IF(C51="", "",Table1[[#This Row],[Delivery Date]]-Table1[[#This Row],[Order Date]])</f>
        <v>7</v>
      </c>
      <c r="T51" t="str">
        <f>TEXT(Table1[[#This Row],[Order Date]],"DDDD")</f>
        <v>Sunday</v>
      </c>
    </row>
    <row r="52" spans="1:20" x14ac:dyDescent="0.3">
      <c r="A52" s="2" t="s">
        <v>285</v>
      </c>
      <c r="B52" s="10">
        <v>45747</v>
      </c>
      <c r="C52" s="10">
        <v>45753</v>
      </c>
      <c r="D52" s="2" t="s">
        <v>238</v>
      </c>
      <c r="E52" s="2" t="s">
        <v>243</v>
      </c>
      <c r="F52" s="2" t="s">
        <v>244</v>
      </c>
      <c r="G52" s="2" t="s">
        <v>217</v>
      </c>
      <c r="H52" s="2" t="s">
        <v>218</v>
      </c>
      <c r="I52" s="2">
        <v>2</v>
      </c>
      <c r="J52" s="11">
        <v>1499</v>
      </c>
      <c r="K52" s="12">
        <v>0</v>
      </c>
      <c r="L52" s="2" t="s">
        <v>225</v>
      </c>
      <c r="M52" s="2" t="s">
        <v>195</v>
      </c>
      <c r="N52">
        <f>Table1[[#This Row],[Quantity]]*Table1[[#This Row],[Unit Price (₹)]]*(1-Table1[[#This Row],[Discount %]])</f>
        <v>2998</v>
      </c>
      <c r="O52" t="str">
        <f>TEXT(Table1[[#This Row],[Order Date]],"mmmm")</f>
        <v>March</v>
      </c>
      <c r="P52" t="str">
        <f>IF(Table1[[#This Row],[Revenue (₹)  ← add]]&gt;=15000,"High Value",IF(Table1[[#This Row],[Revenue (₹)  ← add]]&gt;=5000,"Medium","Low"))</f>
        <v>Low</v>
      </c>
      <c r="Q52">
        <f>VLOOKUP(Table1[[#This Row],[Product]],Table2[],4,FALSE)</f>
        <v>850</v>
      </c>
      <c r="R52">
        <f>Table1[[#This Row],[Revenue (₹)  ← add]]-Table1[[#This Row],[Cost Price  ← add]]</f>
        <v>2148</v>
      </c>
      <c r="S52">
        <f>IF(C52="", "",Table1[[#This Row],[Delivery Date]]-Table1[[#This Row],[Order Date]])</f>
        <v>6</v>
      </c>
      <c r="T52" t="str">
        <f>TEXT(Table1[[#This Row],[Order Date]],"DDDD")</f>
        <v>Monday</v>
      </c>
    </row>
    <row r="53" spans="1:20" x14ac:dyDescent="0.3">
      <c r="A53" s="2" t="s">
        <v>286</v>
      </c>
      <c r="B53" s="10">
        <v>45749</v>
      </c>
      <c r="C53" s="10">
        <v>45753</v>
      </c>
      <c r="D53" s="2" t="s">
        <v>222</v>
      </c>
      <c r="E53" s="2" t="s">
        <v>259</v>
      </c>
      <c r="F53" s="2" t="s">
        <v>249</v>
      </c>
      <c r="G53" s="2" t="s">
        <v>192</v>
      </c>
      <c r="H53" s="2" t="s">
        <v>193</v>
      </c>
      <c r="I53" s="2">
        <v>12</v>
      </c>
      <c r="J53" s="11">
        <v>249</v>
      </c>
      <c r="K53" s="12">
        <v>0.1</v>
      </c>
      <c r="L53" s="2" t="s">
        <v>225</v>
      </c>
      <c r="M53" s="2" t="s">
        <v>195</v>
      </c>
      <c r="N53">
        <f>Table1[[#This Row],[Quantity]]*Table1[[#This Row],[Unit Price (₹)]]*(1-Table1[[#This Row],[Discount %]])</f>
        <v>2689.2000000000003</v>
      </c>
      <c r="O53" t="str">
        <f>TEXT(Table1[[#This Row],[Order Date]],"mmmm")</f>
        <v>April</v>
      </c>
      <c r="P53" t="str">
        <f>IF(Table1[[#This Row],[Revenue (₹)  ← add]]&gt;=15000,"High Value",IF(Table1[[#This Row],[Revenue (₹)  ← add]]&gt;=5000,"Medium","Low"))</f>
        <v>Low</v>
      </c>
      <c r="Q53">
        <f>VLOOKUP(Table1[[#This Row],[Product]],Table2[],4,FALSE)</f>
        <v>120</v>
      </c>
      <c r="R53">
        <f>Table1[[#This Row],[Revenue (₹)  ← add]]-Table1[[#This Row],[Cost Price  ← add]]</f>
        <v>2569.2000000000003</v>
      </c>
      <c r="S53">
        <f>IF(C53="", "",Table1[[#This Row],[Delivery Date]]-Table1[[#This Row],[Order Date]])</f>
        <v>4</v>
      </c>
      <c r="T53" t="str">
        <f>TEXT(Table1[[#This Row],[Order Date]],"DDDD")</f>
        <v>Wednesday</v>
      </c>
    </row>
    <row r="54" spans="1:20" x14ac:dyDescent="0.3">
      <c r="A54" s="2" t="s">
        <v>287</v>
      </c>
      <c r="B54" s="10">
        <v>45754</v>
      </c>
      <c r="C54" s="10"/>
      <c r="D54" s="2" t="s">
        <v>205</v>
      </c>
      <c r="E54" s="2" t="s">
        <v>206</v>
      </c>
      <c r="F54" s="2" t="s">
        <v>207</v>
      </c>
      <c r="G54" s="2" t="s">
        <v>217</v>
      </c>
      <c r="H54" s="2" t="s">
        <v>236</v>
      </c>
      <c r="I54" s="2">
        <v>6</v>
      </c>
      <c r="J54" s="11">
        <v>2499</v>
      </c>
      <c r="K54" s="12">
        <v>0.2</v>
      </c>
      <c r="L54" s="2" t="s">
        <v>194</v>
      </c>
      <c r="M54" s="2" t="s">
        <v>215</v>
      </c>
      <c r="N54">
        <f>Table1[[#This Row],[Quantity]]*Table1[[#This Row],[Unit Price (₹)]]*(1-Table1[[#This Row],[Discount %]])</f>
        <v>11995.2</v>
      </c>
      <c r="O54" t="str">
        <f>TEXT(Table1[[#This Row],[Order Date]],"mmmm")</f>
        <v>April</v>
      </c>
      <c r="P54" t="str">
        <f>IF(Table1[[#This Row],[Revenue (₹)  ← add]]&gt;=15000,"High Value",IF(Table1[[#This Row],[Revenue (₹)  ← add]]&gt;=5000,"Medium","Low"))</f>
        <v>Medium</v>
      </c>
      <c r="Q54">
        <f>VLOOKUP(Table1[[#This Row],[Product]],Table2[],4,FALSE)</f>
        <v>1500</v>
      </c>
      <c r="R54">
        <f>Table1[[#This Row],[Revenue (₹)  ← add]]-Table1[[#This Row],[Cost Price  ← add]]</f>
        <v>10495.2</v>
      </c>
      <c r="S54" t="str">
        <f>IF(C54="", "",Table1[[#This Row],[Delivery Date]]-Table1[[#This Row],[Order Date]])</f>
        <v/>
      </c>
      <c r="T54" t="str">
        <f>TEXT(Table1[[#This Row],[Order Date]],"DDDD")</f>
        <v>Monday</v>
      </c>
    </row>
    <row r="55" spans="1:20" x14ac:dyDescent="0.3">
      <c r="A55" s="2" t="s">
        <v>288</v>
      </c>
      <c r="B55" s="10">
        <v>45754</v>
      </c>
      <c r="C55" s="10">
        <v>45756</v>
      </c>
      <c r="D55" s="2" t="s">
        <v>238</v>
      </c>
      <c r="E55" s="2" t="s">
        <v>254</v>
      </c>
      <c r="F55" s="2" t="s">
        <v>240</v>
      </c>
      <c r="G55" s="2" t="s">
        <v>192</v>
      </c>
      <c r="H55" s="2" t="s">
        <v>193</v>
      </c>
      <c r="I55" s="2">
        <v>16</v>
      </c>
      <c r="J55" s="11">
        <v>249</v>
      </c>
      <c r="K55" s="12">
        <v>0</v>
      </c>
      <c r="L55" s="2" t="s">
        <v>214</v>
      </c>
      <c r="M55" s="2" t="s">
        <v>195</v>
      </c>
      <c r="N55">
        <f>Table1[[#This Row],[Quantity]]*Table1[[#This Row],[Unit Price (₹)]]*(1-Table1[[#This Row],[Discount %]])</f>
        <v>3984</v>
      </c>
      <c r="O55" t="str">
        <f>TEXT(Table1[[#This Row],[Order Date]],"mmmm")</f>
        <v>April</v>
      </c>
      <c r="P55" t="str">
        <f>IF(Table1[[#This Row],[Revenue (₹)  ← add]]&gt;=15000,"High Value",IF(Table1[[#This Row],[Revenue (₹)  ← add]]&gt;=5000,"Medium","Low"))</f>
        <v>Low</v>
      </c>
      <c r="Q55">
        <f>VLOOKUP(Table1[[#This Row],[Product]],Table2[],4,FALSE)</f>
        <v>120</v>
      </c>
      <c r="R55">
        <f>Table1[[#This Row],[Revenue (₹)  ← add]]-Table1[[#This Row],[Cost Price  ← add]]</f>
        <v>3864</v>
      </c>
      <c r="S55">
        <f>IF(C55="", "",Table1[[#This Row],[Delivery Date]]-Table1[[#This Row],[Order Date]])</f>
        <v>2</v>
      </c>
      <c r="T55" t="str">
        <f>TEXT(Table1[[#This Row],[Order Date]],"DDDD")</f>
        <v>Monday</v>
      </c>
    </row>
    <row r="56" spans="1:20" x14ac:dyDescent="0.3">
      <c r="A56" s="2" t="s">
        <v>289</v>
      </c>
      <c r="B56" s="10">
        <v>45754</v>
      </c>
      <c r="C56" s="10">
        <v>45758</v>
      </c>
      <c r="D56" s="2" t="s">
        <v>205</v>
      </c>
      <c r="E56" s="2" t="s">
        <v>210</v>
      </c>
      <c r="F56" s="2" t="s">
        <v>207</v>
      </c>
      <c r="G56" s="2" t="s">
        <v>192</v>
      </c>
      <c r="H56" s="2" t="s">
        <v>247</v>
      </c>
      <c r="I56" s="2">
        <v>6</v>
      </c>
      <c r="J56" s="11">
        <v>349</v>
      </c>
      <c r="K56" s="12">
        <v>0.15</v>
      </c>
      <c r="L56" s="2" t="s">
        <v>214</v>
      </c>
      <c r="M56" s="2" t="s">
        <v>195</v>
      </c>
      <c r="N56">
        <f>Table1[[#This Row],[Quantity]]*Table1[[#This Row],[Unit Price (₹)]]*(1-Table1[[#This Row],[Discount %]])</f>
        <v>1779.8999999999999</v>
      </c>
      <c r="O56" t="str">
        <f>TEXT(Table1[[#This Row],[Order Date]],"mmmm")</f>
        <v>April</v>
      </c>
      <c r="P56" t="str">
        <f>IF(Table1[[#This Row],[Revenue (₹)  ← add]]&gt;=15000,"High Value",IF(Table1[[#This Row],[Revenue (₹)  ← add]]&gt;=5000,"Medium","Low"))</f>
        <v>Low</v>
      </c>
      <c r="Q56">
        <f>VLOOKUP(Table1[[#This Row],[Product]],Table2[],4,FALSE)</f>
        <v>180</v>
      </c>
      <c r="R56">
        <f>Table1[[#This Row],[Revenue (₹)  ← add]]-Table1[[#This Row],[Cost Price  ← add]]</f>
        <v>1599.8999999999999</v>
      </c>
      <c r="S56">
        <f>IF(C56="", "",Table1[[#This Row],[Delivery Date]]-Table1[[#This Row],[Order Date]])</f>
        <v>4</v>
      </c>
      <c r="T56" t="str">
        <f>TEXT(Table1[[#This Row],[Order Date]],"DDDD")</f>
        <v>Monday</v>
      </c>
    </row>
    <row r="57" spans="1:20" x14ac:dyDescent="0.3">
      <c r="A57" s="2" t="s">
        <v>290</v>
      </c>
      <c r="B57" s="10">
        <v>45756</v>
      </c>
      <c r="C57" s="10">
        <v>45760</v>
      </c>
      <c r="D57" s="2" t="s">
        <v>222</v>
      </c>
      <c r="E57" s="2" t="s">
        <v>259</v>
      </c>
      <c r="F57" s="2" t="s">
        <v>224</v>
      </c>
      <c r="G57" s="2" t="s">
        <v>217</v>
      </c>
      <c r="H57" s="2" t="s">
        <v>218</v>
      </c>
      <c r="I57" s="2">
        <v>5</v>
      </c>
      <c r="J57" s="11">
        <v>1499</v>
      </c>
      <c r="K57" s="12">
        <v>0.05</v>
      </c>
      <c r="L57" s="2" t="s">
        <v>194</v>
      </c>
      <c r="M57" s="2" t="s">
        <v>195</v>
      </c>
      <c r="N57">
        <f>Table1[[#This Row],[Quantity]]*Table1[[#This Row],[Unit Price (₹)]]*(1-Table1[[#This Row],[Discount %]])</f>
        <v>7120.25</v>
      </c>
      <c r="O57" t="str">
        <f>TEXT(Table1[[#This Row],[Order Date]],"mmmm")</f>
        <v>April</v>
      </c>
      <c r="P57" t="str">
        <f>IF(Table1[[#This Row],[Revenue (₹)  ← add]]&gt;=15000,"High Value",IF(Table1[[#This Row],[Revenue (₹)  ← add]]&gt;=5000,"Medium","Low"))</f>
        <v>Medium</v>
      </c>
      <c r="Q57">
        <f>VLOOKUP(Table1[[#This Row],[Product]],Table2[],4,FALSE)</f>
        <v>850</v>
      </c>
      <c r="R57">
        <f>Table1[[#This Row],[Revenue (₹)  ← add]]-Table1[[#This Row],[Cost Price  ← add]]</f>
        <v>6270.25</v>
      </c>
      <c r="S57">
        <f>IF(C57="", "",Table1[[#This Row],[Delivery Date]]-Table1[[#This Row],[Order Date]])</f>
        <v>4</v>
      </c>
      <c r="T57" t="str">
        <f>TEXT(Table1[[#This Row],[Order Date]],"DDDD")</f>
        <v>Wednesday</v>
      </c>
    </row>
    <row r="58" spans="1:20" x14ac:dyDescent="0.3">
      <c r="A58" s="2" t="s">
        <v>291</v>
      </c>
      <c r="B58" s="10">
        <v>45757</v>
      </c>
      <c r="C58" s="10">
        <v>45759</v>
      </c>
      <c r="D58" s="2" t="s">
        <v>222</v>
      </c>
      <c r="E58" s="2" t="s">
        <v>259</v>
      </c>
      <c r="F58" s="2" t="s">
        <v>249</v>
      </c>
      <c r="G58" s="2" t="s">
        <v>192</v>
      </c>
      <c r="H58" s="2" t="s">
        <v>234</v>
      </c>
      <c r="I58" s="2">
        <v>11</v>
      </c>
      <c r="J58" s="11">
        <v>599</v>
      </c>
      <c r="K58" s="12">
        <v>0.05</v>
      </c>
      <c r="L58" s="2" t="s">
        <v>225</v>
      </c>
      <c r="M58" s="2" t="s">
        <v>195</v>
      </c>
      <c r="N58">
        <f>Table1[[#This Row],[Quantity]]*Table1[[#This Row],[Unit Price (₹)]]*(1-Table1[[#This Row],[Discount %]])</f>
        <v>6259.5499999999993</v>
      </c>
      <c r="O58" t="str">
        <f>TEXT(Table1[[#This Row],[Order Date]],"mmmm")</f>
        <v>April</v>
      </c>
      <c r="P58" t="str">
        <f>IF(Table1[[#This Row],[Revenue (₹)  ← add]]&gt;=15000,"High Value",IF(Table1[[#This Row],[Revenue (₹)  ← add]]&gt;=5000,"Medium","Low"))</f>
        <v>Medium</v>
      </c>
      <c r="Q58">
        <f>VLOOKUP(Table1[[#This Row],[Product]],Table2[],4,FALSE)</f>
        <v>320</v>
      </c>
      <c r="R58">
        <f>Table1[[#This Row],[Revenue (₹)  ← add]]-Table1[[#This Row],[Cost Price  ← add]]</f>
        <v>5939.5499999999993</v>
      </c>
      <c r="S58">
        <f>IF(C58="", "",Table1[[#This Row],[Delivery Date]]-Table1[[#This Row],[Order Date]])</f>
        <v>2</v>
      </c>
      <c r="T58" t="str">
        <f>TEXT(Table1[[#This Row],[Order Date]],"DDDD")</f>
        <v>Thursday</v>
      </c>
    </row>
    <row r="59" spans="1:20" x14ac:dyDescent="0.3">
      <c r="A59" s="2" t="s">
        <v>292</v>
      </c>
      <c r="B59" s="10">
        <v>45757</v>
      </c>
      <c r="C59" s="10">
        <v>45763</v>
      </c>
      <c r="D59" s="2" t="s">
        <v>205</v>
      </c>
      <c r="E59" s="2" t="s">
        <v>210</v>
      </c>
      <c r="F59" s="2" t="s">
        <v>211</v>
      </c>
      <c r="G59" s="2" t="s">
        <v>217</v>
      </c>
      <c r="H59" s="2" t="s">
        <v>218</v>
      </c>
      <c r="I59" s="2">
        <v>2</v>
      </c>
      <c r="J59" s="11">
        <v>1499</v>
      </c>
      <c r="K59" s="12">
        <v>0.2</v>
      </c>
      <c r="L59" s="2" t="s">
        <v>214</v>
      </c>
      <c r="M59" s="2" t="s">
        <v>195</v>
      </c>
      <c r="N59">
        <f>Table1[[#This Row],[Quantity]]*Table1[[#This Row],[Unit Price (₹)]]*(1-Table1[[#This Row],[Discount %]])</f>
        <v>2398.4</v>
      </c>
      <c r="O59" t="str">
        <f>TEXT(Table1[[#This Row],[Order Date]],"mmmm")</f>
        <v>April</v>
      </c>
      <c r="P59" t="str">
        <f>IF(Table1[[#This Row],[Revenue (₹)  ← add]]&gt;=15000,"High Value",IF(Table1[[#This Row],[Revenue (₹)  ← add]]&gt;=5000,"Medium","Low"))</f>
        <v>Low</v>
      </c>
      <c r="Q59">
        <f>VLOOKUP(Table1[[#This Row],[Product]],Table2[],4,FALSE)</f>
        <v>850</v>
      </c>
      <c r="R59">
        <f>Table1[[#This Row],[Revenue (₹)  ← add]]-Table1[[#This Row],[Cost Price  ← add]]</f>
        <v>1548.4</v>
      </c>
      <c r="S59">
        <f>IF(C59="", "",Table1[[#This Row],[Delivery Date]]-Table1[[#This Row],[Order Date]])</f>
        <v>6</v>
      </c>
      <c r="T59" t="str">
        <f>TEXT(Table1[[#This Row],[Order Date]],"DDDD")</f>
        <v>Thursday</v>
      </c>
    </row>
    <row r="60" spans="1:20" x14ac:dyDescent="0.3">
      <c r="A60" s="2" t="s">
        <v>293</v>
      </c>
      <c r="B60" s="10">
        <v>45761</v>
      </c>
      <c r="C60" s="10"/>
      <c r="D60" s="2" t="s">
        <v>238</v>
      </c>
      <c r="E60" s="2" t="s">
        <v>243</v>
      </c>
      <c r="F60" s="2" t="s">
        <v>244</v>
      </c>
      <c r="G60" s="2" t="s">
        <v>217</v>
      </c>
      <c r="H60" s="2" t="s">
        <v>236</v>
      </c>
      <c r="I60" s="2">
        <v>4</v>
      </c>
      <c r="J60" s="11">
        <v>2499</v>
      </c>
      <c r="K60" s="12">
        <v>0</v>
      </c>
      <c r="L60" s="2" t="s">
        <v>203</v>
      </c>
      <c r="M60" s="2" t="s">
        <v>215</v>
      </c>
      <c r="N60">
        <f>Table1[[#This Row],[Quantity]]*Table1[[#This Row],[Unit Price (₹)]]*(1-Table1[[#This Row],[Discount %]])</f>
        <v>9996</v>
      </c>
      <c r="O60" t="str">
        <f>TEXT(Table1[[#This Row],[Order Date]],"mmmm")</f>
        <v>April</v>
      </c>
      <c r="P60" t="str">
        <f>IF(Table1[[#This Row],[Revenue (₹)  ← add]]&gt;=15000,"High Value",IF(Table1[[#This Row],[Revenue (₹)  ← add]]&gt;=5000,"Medium","Low"))</f>
        <v>Medium</v>
      </c>
      <c r="Q60">
        <f>VLOOKUP(Table1[[#This Row],[Product]],Table2[],4,FALSE)</f>
        <v>1500</v>
      </c>
      <c r="R60">
        <f>Table1[[#This Row],[Revenue (₹)  ← add]]-Table1[[#This Row],[Cost Price  ← add]]</f>
        <v>8496</v>
      </c>
      <c r="S60" t="str">
        <f>IF(C60="", "",Table1[[#This Row],[Delivery Date]]-Table1[[#This Row],[Order Date]])</f>
        <v/>
      </c>
      <c r="T60" t="str">
        <f>TEXT(Table1[[#This Row],[Order Date]],"DDDD")</f>
        <v>Monday</v>
      </c>
    </row>
    <row r="61" spans="1:20" x14ac:dyDescent="0.3">
      <c r="A61" s="2" t="s">
        <v>294</v>
      </c>
      <c r="B61" s="10">
        <v>45762</v>
      </c>
      <c r="C61" s="10"/>
      <c r="D61" s="2" t="s">
        <v>189</v>
      </c>
      <c r="E61" s="2" t="s">
        <v>197</v>
      </c>
      <c r="F61" s="2" t="s">
        <v>213</v>
      </c>
      <c r="G61" s="2" t="s">
        <v>201</v>
      </c>
      <c r="H61" s="2" t="s">
        <v>202</v>
      </c>
      <c r="I61" s="2">
        <v>2</v>
      </c>
      <c r="J61" s="11">
        <v>8499</v>
      </c>
      <c r="K61" s="12">
        <v>0.15</v>
      </c>
      <c r="L61" s="2" t="s">
        <v>203</v>
      </c>
      <c r="M61" s="2" t="s">
        <v>215</v>
      </c>
      <c r="N61">
        <f>Table1[[#This Row],[Quantity]]*Table1[[#This Row],[Unit Price (₹)]]*(1-Table1[[#This Row],[Discount %]])</f>
        <v>14448.3</v>
      </c>
      <c r="O61" t="str">
        <f>TEXT(Table1[[#This Row],[Order Date]],"mmmm")</f>
        <v>April</v>
      </c>
      <c r="P61" t="str">
        <f>IF(Table1[[#This Row],[Revenue (₹)  ← add]]&gt;=15000,"High Value",IF(Table1[[#This Row],[Revenue (₹)  ← add]]&gt;=5000,"Medium","Low"))</f>
        <v>Medium</v>
      </c>
      <c r="Q61">
        <f>VLOOKUP(Table1[[#This Row],[Product]],Table2[],4,FALSE)</f>
        <v>5200</v>
      </c>
      <c r="R61">
        <f>Table1[[#This Row],[Revenue (₹)  ← add]]-Table1[[#This Row],[Cost Price  ← add]]</f>
        <v>9248.2999999999993</v>
      </c>
      <c r="S61" t="str">
        <f>IF(C61="", "",Table1[[#This Row],[Delivery Date]]-Table1[[#This Row],[Order Date]])</f>
        <v/>
      </c>
      <c r="T61" t="str">
        <f>TEXT(Table1[[#This Row],[Order Date]],"DDDD")</f>
        <v>Tuesday</v>
      </c>
    </row>
    <row r="62" spans="1:20" x14ac:dyDescent="0.3">
      <c r="A62" s="2" t="s">
        <v>295</v>
      </c>
      <c r="B62" s="10">
        <v>45765</v>
      </c>
      <c r="C62" s="10">
        <v>45768</v>
      </c>
      <c r="D62" s="2" t="s">
        <v>238</v>
      </c>
      <c r="E62" s="2" t="s">
        <v>254</v>
      </c>
      <c r="F62" s="2" t="s">
        <v>244</v>
      </c>
      <c r="G62" s="2" t="s">
        <v>201</v>
      </c>
      <c r="H62" s="2" t="s">
        <v>250</v>
      </c>
      <c r="I62" s="2">
        <v>2</v>
      </c>
      <c r="J62" s="11">
        <v>5499</v>
      </c>
      <c r="K62" s="12">
        <v>0.05</v>
      </c>
      <c r="L62" s="2" t="s">
        <v>214</v>
      </c>
      <c r="M62" s="2" t="s">
        <v>195</v>
      </c>
      <c r="N62">
        <f>Table1[[#This Row],[Quantity]]*Table1[[#This Row],[Unit Price (₹)]]*(1-Table1[[#This Row],[Discount %]])</f>
        <v>10448.1</v>
      </c>
      <c r="O62" t="str">
        <f>TEXT(Table1[[#This Row],[Order Date]],"mmmm")</f>
        <v>April</v>
      </c>
      <c r="P62" t="str">
        <f>IF(Table1[[#This Row],[Revenue (₹)  ← add]]&gt;=15000,"High Value",IF(Table1[[#This Row],[Revenue (₹)  ← add]]&gt;=5000,"Medium","Low"))</f>
        <v>Medium</v>
      </c>
      <c r="Q62">
        <f>VLOOKUP(Table1[[#This Row],[Product]],Table2[],4,FALSE)</f>
        <v>3300</v>
      </c>
      <c r="R62">
        <f>Table1[[#This Row],[Revenue (₹)  ← add]]-Table1[[#This Row],[Cost Price  ← add]]</f>
        <v>7148.1</v>
      </c>
      <c r="S62">
        <f>IF(C62="", "",Table1[[#This Row],[Delivery Date]]-Table1[[#This Row],[Order Date]])</f>
        <v>3</v>
      </c>
      <c r="T62" t="str">
        <f>TEXT(Table1[[#This Row],[Order Date]],"DDDD")</f>
        <v>Friday</v>
      </c>
    </row>
    <row r="63" spans="1:20" x14ac:dyDescent="0.3">
      <c r="A63" s="2" t="s">
        <v>296</v>
      </c>
      <c r="B63" s="10">
        <v>45766</v>
      </c>
      <c r="C63" s="10">
        <v>45768</v>
      </c>
      <c r="D63" s="2" t="s">
        <v>222</v>
      </c>
      <c r="E63" s="2" t="s">
        <v>231</v>
      </c>
      <c r="F63" s="2" t="s">
        <v>224</v>
      </c>
      <c r="G63" s="2" t="s">
        <v>192</v>
      </c>
      <c r="H63" s="2" t="s">
        <v>193</v>
      </c>
      <c r="I63" s="2">
        <v>23</v>
      </c>
      <c r="J63" s="11">
        <v>249</v>
      </c>
      <c r="K63" s="12">
        <v>0</v>
      </c>
      <c r="L63" s="2" t="s">
        <v>203</v>
      </c>
      <c r="M63" s="2" t="s">
        <v>219</v>
      </c>
      <c r="N63">
        <f>Table1[[#This Row],[Quantity]]*Table1[[#This Row],[Unit Price (₹)]]*(1-Table1[[#This Row],[Discount %]])</f>
        <v>5727</v>
      </c>
      <c r="O63" t="str">
        <f>TEXT(Table1[[#This Row],[Order Date]],"mmmm")</f>
        <v>April</v>
      </c>
      <c r="P63" t="str">
        <f>IF(Table1[[#This Row],[Revenue (₹)  ← add]]&gt;=15000,"High Value",IF(Table1[[#This Row],[Revenue (₹)  ← add]]&gt;=5000,"Medium","Low"))</f>
        <v>Medium</v>
      </c>
      <c r="Q63">
        <f>VLOOKUP(Table1[[#This Row],[Product]],Table2[],4,FALSE)</f>
        <v>120</v>
      </c>
      <c r="R63">
        <f>Table1[[#This Row],[Revenue (₹)  ← add]]-Table1[[#This Row],[Cost Price  ← add]]</f>
        <v>5607</v>
      </c>
      <c r="S63">
        <f>IF(C63="", "",Table1[[#This Row],[Delivery Date]]-Table1[[#This Row],[Order Date]])</f>
        <v>2</v>
      </c>
      <c r="T63" t="str">
        <f>TEXT(Table1[[#This Row],[Order Date]],"DDDD")</f>
        <v>Saturday</v>
      </c>
    </row>
    <row r="64" spans="1:20" x14ac:dyDescent="0.3">
      <c r="A64" s="2" t="s">
        <v>297</v>
      </c>
      <c r="B64" s="10">
        <v>45767</v>
      </c>
      <c r="C64" s="10">
        <v>45769</v>
      </c>
      <c r="D64" s="2" t="s">
        <v>205</v>
      </c>
      <c r="E64" s="2" t="s">
        <v>206</v>
      </c>
      <c r="F64" s="2" t="s">
        <v>211</v>
      </c>
      <c r="G64" s="2" t="s">
        <v>217</v>
      </c>
      <c r="H64" s="2" t="s">
        <v>218</v>
      </c>
      <c r="I64" s="2">
        <v>6</v>
      </c>
      <c r="J64" s="11">
        <v>1499</v>
      </c>
      <c r="K64" s="12">
        <v>0.1</v>
      </c>
      <c r="L64" s="2" t="s">
        <v>229</v>
      </c>
      <c r="M64" s="2" t="s">
        <v>195</v>
      </c>
      <c r="N64">
        <f>Table1[[#This Row],[Quantity]]*Table1[[#This Row],[Unit Price (₹)]]*(1-Table1[[#This Row],[Discount %]])</f>
        <v>8094.6</v>
      </c>
      <c r="O64" t="str">
        <f>TEXT(Table1[[#This Row],[Order Date]],"mmmm")</f>
        <v>April</v>
      </c>
      <c r="P64" t="str">
        <f>IF(Table1[[#This Row],[Revenue (₹)  ← add]]&gt;=15000,"High Value",IF(Table1[[#This Row],[Revenue (₹)  ← add]]&gt;=5000,"Medium","Low"))</f>
        <v>Medium</v>
      </c>
      <c r="Q64">
        <f>VLOOKUP(Table1[[#This Row],[Product]],Table2[],4,FALSE)</f>
        <v>850</v>
      </c>
      <c r="R64">
        <f>Table1[[#This Row],[Revenue (₹)  ← add]]-Table1[[#This Row],[Cost Price  ← add]]</f>
        <v>7244.6</v>
      </c>
      <c r="S64">
        <f>IF(C64="", "",Table1[[#This Row],[Delivery Date]]-Table1[[#This Row],[Order Date]])</f>
        <v>2</v>
      </c>
      <c r="T64" t="str">
        <f>TEXT(Table1[[#This Row],[Order Date]],"DDDD")</f>
        <v>Sunday</v>
      </c>
    </row>
    <row r="65" spans="1:20" x14ac:dyDescent="0.3">
      <c r="A65" s="2" t="s">
        <v>298</v>
      </c>
      <c r="B65" s="10">
        <v>45768</v>
      </c>
      <c r="C65" s="10">
        <v>45772</v>
      </c>
      <c r="D65" s="2" t="s">
        <v>222</v>
      </c>
      <c r="E65" s="2" t="s">
        <v>231</v>
      </c>
      <c r="F65" s="2" t="s">
        <v>224</v>
      </c>
      <c r="G65" s="2" t="s">
        <v>217</v>
      </c>
      <c r="H65" s="2" t="s">
        <v>218</v>
      </c>
      <c r="I65" s="2">
        <v>3</v>
      </c>
      <c r="J65" s="11">
        <v>1499</v>
      </c>
      <c r="K65" s="12">
        <v>0.1</v>
      </c>
      <c r="L65" s="2" t="s">
        <v>203</v>
      </c>
      <c r="M65" s="2" t="s">
        <v>195</v>
      </c>
      <c r="N65">
        <f>Table1[[#This Row],[Quantity]]*Table1[[#This Row],[Unit Price (₹)]]*(1-Table1[[#This Row],[Discount %]])</f>
        <v>4047.3</v>
      </c>
      <c r="O65" t="str">
        <f>TEXT(Table1[[#This Row],[Order Date]],"mmmm")</f>
        <v>April</v>
      </c>
      <c r="P65" t="str">
        <f>IF(Table1[[#This Row],[Revenue (₹)  ← add]]&gt;=15000,"High Value",IF(Table1[[#This Row],[Revenue (₹)  ← add]]&gt;=5000,"Medium","Low"))</f>
        <v>Low</v>
      </c>
      <c r="Q65">
        <f>VLOOKUP(Table1[[#This Row],[Product]],Table2[],4,FALSE)</f>
        <v>850</v>
      </c>
      <c r="R65">
        <f>Table1[[#This Row],[Revenue (₹)  ← add]]-Table1[[#This Row],[Cost Price  ← add]]</f>
        <v>3197.3</v>
      </c>
      <c r="S65">
        <f>IF(C65="", "",Table1[[#This Row],[Delivery Date]]-Table1[[#This Row],[Order Date]])</f>
        <v>4</v>
      </c>
      <c r="T65" t="str">
        <f>TEXT(Table1[[#This Row],[Order Date]],"DDDD")</f>
        <v>Monday</v>
      </c>
    </row>
    <row r="66" spans="1:20" x14ac:dyDescent="0.3">
      <c r="A66" s="2" t="s">
        <v>299</v>
      </c>
      <c r="B66" s="10">
        <v>45768</v>
      </c>
      <c r="C66" s="10">
        <v>45777</v>
      </c>
      <c r="D66" s="2" t="s">
        <v>222</v>
      </c>
      <c r="E66" s="2" t="s">
        <v>223</v>
      </c>
      <c r="F66" s="2" t="s">
        <v>224</v>
      </c>
      <c r="G66" s="2" t="s">
        <v>201</v>
      </c>
      <c r="H66" s="2" t="s">
        <v>202</v>
      </c>
      <c r="I66" s="2">
        <v>3</v>
      </c>
      <c r="J66" s="11">
        <v>8499</v>
      </c>
      <c r="K66" s="12">
        <v>0.05</v>
      </c>
      <c r="L66" s="2" t="s">
        <v>214</v>
      </c>
      <c r="M66" s="2" t="s">
        <v>195</v>
      </c>
      <c r="N66">
        <f>Table1[[#This Row],[Quantity]]*Table1[[#This Row],[Unit Price (₹)]]*(1-Table1[[#This Row],[Discount %]])</f>
        <v>24222.149999999998</v>
      </c>
      <c r="O66" t="str">
        <f>TEXT(Table1[[#This Row],[Order Date]],"mmmm")</f>
        <v>April</v>
      </c>
      <c r="P66" t="str">
        <f>IF(Table1[[#This Row],[Revenue (₹)  ← add]]&gt;=15000,"High Value",IF(Table1[[#This Row],[Revenue (₹)  ← add]]&gt;=5000,"Medium","Low"))</f>
        <v>High Value</v>
      </c>
      <c r="Q66">
        <f>VLOOKUP(Table1[[#This Row],[Product]],Table2[],4,FALSE)</f>
        <v>5200</v>
      </c>
      <c r="R66">
        <f>Table1[[#This Row],[Revenue (₹)  ← add]]-Table1[[#This Row],[Cost Price  ← add]]</f>
        <v>19022.149999999998</v>
      </c>
      <c r="S66">
        <f>IF(C66="", "",Table1[[#This Row],[Delivery Date]]-Table1[[#This Row],[Order Date]])</f>
        <v>9</v>
      </c>
      <c r="T66" t="str">
        <f>TEXT(Table1[[#This Row],[Order Date]],"DDDD")</f>
        <v>Monday</v>
      </c>
    </row>
    <row r="67" spans="1:20" x14ac:dyDescent="0.3">
      <c r="A67" s="2" t="s">
        <v>300</v>
      </c>
      <c r="B67" s="10">
        <v>45772</v>
      </c>
      <c r="C67" s="10">
        <v>45781</v>
      </c>
      <c r="D67" s="2" t="s">
        <v>205</v>
      </c>
      <c r="E67" s="2" t="s">
        <v>210</v>
      </c>
      <c r="F67" s="2" t="s">
        <v>211</v>
      </c>
      <c r="G67" s="2" t="s">
        <v>192</v>
      </c>
      <c r="H67" s="2" t="s">
        <v>193</v>
      </c>
      <c r="I67" s="2">
        <v>9</v>
      </c>
      <c r="J67" s="11">
        <v>249</v>
      </c>
      <c r="K67" s="12">
        <v>0.15</v>
      </c>
      <c r="L67" s="2" t="s">
        <v>203</v>
      </c>
      <c r="M67" s="2" t="s">
        <v>219</v>
      </c>
      <c r="N67">
        <f>Table1[[#This Row],[Quantity]]*Table1[[#This Row],[Unit Price (₹)]]*(1-Table1[[#This Row],[Discount %]])</f>
        <v>1904.85</v>
      </c>
      <c r="O67" t="str">
        <f>TEXT(Table1[[#This Row],[Order Date]],"mmmm")</f>
        <v>April</v>
      </c>
      <c r="P67" t="str">
        <f>IF(Table1[[#This Row],[Revenue (₹)  ← add]]&gt;=15000,"High Value",IF(Table1[[#This Row],[Revenue (₹)  ← add]]&gt;=5000,"Medium","Low"))</f>
        <v>Low</v>
      </c>
      <c r="Q67">
        <f>VLOOKUP(Table1[[#This Row],[Product]],Table2[],4,FALSE)</f>
        <v>120</v>
      </c>
      <c r="R67">
        <f>Table1[[#This Row],[Revenue (₹)  ← add]]-Table1[[#This Row],[Cost Price  ← add]]</f>
        <v>1784.85</v>
      </c>
      <c r="S67">
        <f>IF(C67="", "",Table1[[#This Row],[Delivery Date]]-Table1[[#This Row],[Order Date]])</f>
        <v>9</v>
      </c>
      <c r="T67" t="str">
        <f>TEXT(Table1[[#This Row],[Order Date]],"DDDD")</f>
        <v>Friday</v>
      </c>
    </row>
    <row r="68" spans="1:20" x14ac:dyDescent="0.3">
      <c r="A68" s="2" t="s">
        <v>301</v>
      </c>
      <c r="B68" s="10">
        <v>45772</v>
      </c>
      <c r="C68" s="10">
        <v>45780</v>
      </c>
      <c r="D68" s="2" t="s">
        <v>222</v>
      </c>
      <c r="E68" s="2" t="s">
        <v>223</v>
      </c>
      <c r="F68" s="2" t="s">
        <v>224</v>
      </c>
      <c r="G68" s="2" t="s">
        <v>217</v>
      </c>
      <c r="H68" s="2" t="s">
        <v>255</v>
      </c>
      <c r="I68" s="2">
        <v>3</v>
      </c>
      <c r="J68" s="11">
        <v>1999</v>
      </c>
      <c r="K68" s="12">
        <v>0.1</v>
      </c>
      <c r="L68" s="2" t="s">
        <v>194</v>
      </c>
      <c r="M68" s="2" t="s">
        <v>195</v>
      </c>
      <c r="N68">
        <f>Table1[[#This Row],[Quantity]]*Table1[[#This Row],[Unit Price (₹)]]*(1-Table1[[#This Row],[Discount %]])</f>
        <v>5397.3</v>
      </c>
      <c r="O68" t="str">
        <f>TEXT(Table1[[#This Row],[Order Date]],"mmmm")</f>
        <v>April</v>
      </c>
      <c r="P68" t="str">
        <f>IF(Table1[[#This Row],[Revenue (₹)  ← add]]&gt;=15000,"High Value",IF(Table1[[#This Row],[Revenue (₹)  ← add]]&gt;=5000,"Medium","Low"))</f>
        <v>Medium</v>
      </c>
      <c r="Q68">
        <f>VLOOKUP(Table1[[#This Row],[Product]],Table2[],4,FALSE)</f>
        <v>1100</v>
      </c>
      <c r="R68">
        <f>Table1[[#This Row],[Revenue (₹)  ← add]]-Table1[[#This Row],[Cost Price  ← add]]</f>
        <v>4297.3</v>
      </c>
      <c r="S68">
        <f>IF(C68="", "",Table1[[#This Row],[Delivery Date]]-Table1[[#This Row],[Order Date]])</f>
        <v>8</v>
      </c>
      <c r="T68" t="str">
        <f>TEXT(Table1[[#This Row],[Order Date]],"DDDD")</f>
        <v>Friday</v>
      </c>
    </row>
    <row r="69" spans="1:20" x14ac:dyDescent="0.3">
      <c r="A69" s="2" t="s">
        <v>302</v>
      </c>
      <c r="B69" s="10">
        <v>45776</v>
      </c>
      <c r="C69" s="10">
        <v>45780</v>
      </c>
      <c r="D69" s="2" t="s">
        <v>222</v>
      </c>
      <c r="E69" s="2" t="s">
        <v>231</v>
      </c>
      <c r="F69" s="2" t="s">
        <v>249</v>
      </c>
      <c r="G69" s="2" t="s">
        <v>198</v>
      </c>
      <c r="H69" s="2" t="s">
        <v>208</v>
      </c>
      <c r="I69" s="2">
        <v>6</v>
      </c>
      <c r="J69" s="11">
        <v>599</v>
      </c>
      <c r="K69" s="12">
        <v>0.05</v>
      </c>
      <c r="L69" s="2" t="s">
        <v>225</v>
      </c>
      <c r="M69" s="2" t="s">
        <v>195</v>
      </c>
      <c r="N69">
        <f>Table1[[#This Row],[Quantity]]*Table1[[#This Row],[Unit Price (₹)]]*(1-Table1[[#This Row],[Discount %]])</f>
        <v>3414.2999999999997</v>
      </c>
      <c r="O69" t="str">
        <f>TEXT(Table1[[#This Row],[Order Date]],"mmmm")</f>
        <v>April</v>
      </c>
      <c r="P69" t="str">
        <f>IF(Table1[[#This Row],[Revenue (₹)  ← add]]&gt;=15000,"High Value",IF(Table1[[#This Row],[Revenue (₹)  ← add]]&gt;=5000,"Medium","Low"))</f>
        <v>Low</v>
      </c>
      <c r="Q69">
        <f>VLOOKUP(Table1[[#This Row],[Product]],Table2[],4,FALSE)</f>
        <v>300</v>
      </c>
      <c r="R69">
        <f>Table1[[#This Row],[Revenue (₹)  ← add]]-Table1[[#This Row],[Cost Price  ← add]]</f>
        <v>3114.2999999999997</v>
      </c>
      <c r="S69">
        <f>IF(C69="", "",Table1[[#This Row],[Delivery Date]]-Table1[[#This Row],[Order Date]])</f>
        <v>4</v>
      </c>
      <c r="T69" t="str">
        <f>TEXT(Table1[[#This Row],[Order Date]],"DDDD")</f>
        <v>Tuesday</v>
      </c>
    </row>
    <row r="70" spans="1:20" x14ac:dyDescent="0.3">
      <c r="A70" s="2" t="s">
        <v>303</v>
      </c>
      <c r="B70" s="10">
        <v>45777</v>
      </c>
      <c r="C70" s="10">
        <v>45781</v>
      </c>
      <c r="D70" s="2" t="s">
        <v>222</v>
      </c>
      <c r="E70" s="2" t="s">
        <v>231</v>
      </c>
      <c r="F70" s="2" t="s">
        <v>249</v>
      </c>
      <c r="G70" s="2" t="s">
        <v>217</v>
      </c>
      <c r="H70" s="2" t="s">
        <v>255</v>
      </c>
      <c r="I70" s="2">
        <v>4</v>
      </c>
      <c r="J70" s="11">
        <v>1999</v>
      </c>
      <c r="K70" s="12">
        <v>0.15</v>
      </c>
      <c r="L70" s="2" t="s">
        <v>229</v>
      </c>
      <c r="M70" s="2" t="s">
        <v>195</v>
      </c>
      <c r="N70">
        <f>Table1[[#This Row],[Quantity]]*Table1[[#This Row],[Unit Price (₹)]]*(1-Table1[[#This Row],[Discount %]])</f>
        <v>6796.5999999999995</v>
      </c>
      <c r="O70" t="str">
        <f>TEXT(Table1[[#This Row],[Order Date]],"mmmm")</f>
        <v>April</v>
      </c>
      <c r="P70" t="str">
        <f>IF(Table1[[#This Row],[Revenue (₹)  ← add]]&gt;=15000,"High Value",IF(Table1[[#This Row],[Revenue (₹)  ← add]]&gt;=5000,"Medium","Low"))</f>
        <v>Medium</v>
      </c>
      <c r="Q70">
        <f>VLOOKUP(Table1[[#This Row],[Product]],Table2[],4,FALSE)</f>
        <v>1100</v>
      </c>
      <c r="R70">
        <f>Table1[[#This Row],[Revenue (₹)  ← add]]-Table1[[#This Row],[Cost Price  ← add]]</f>
        <v>5696.5999999999995</v>
      </c>
      <c r="S70">
        <f>IF(C70="", "",Table1[[#This Row],[Delivery Date]]-Table1[[#This Row],[Order Date]])</f>
        <v>4</v>
      </c>
      <c r="T70" t="str">
        <f>TEXT(Table1[[#This Row],[Order Date]],"DDDD")</f>
        <v>Wednesday</v>
      </c>
    </row>
    <row r="71" spans="1:20" x14ac:dyDescent="0.3">
      <c r="A71" s="2" t="s">
        <v>304</v>
      </c>
      <c r="B71" s="10">
        <v>45779</v>
      </c>
      <c r="C71" s="10">
        <v>45783</v>
      </c>
      <c r="D71" s="2" t="s">
        <v>222</v>
      </c>
      <c r="E71" s="2" t="s">
        <v>259</v>
      </c>
      <c r="F71" s="2" t="s">
        <v>224</v>
      </c>
      <c r="G71" s="2" t="s">
        <v>198</v>
      </c>
      <c r="H71" s="2" t="s">
        <v>199</v>
      </c>
      <c r="I71" s="2">
        <v>2</v>
      </c>
      <c r="J71" s="11">
        <v>2999</v>
      </c>
      <c r="K71" s="12">
        <v>0</v>
      </c>
      <c r="L71" s="2" t="s">
        <v>225</v>
      </c>
      <c r="M71" s="2" t="s">
        <v>195</v>
      </c>
      <c r="N71">
        <f>Table1[[#This Row],[Quantity]]*Table1[[#This Row],[Unit Price (₹)]]*(1-Table1[[#This Row],[Discount %]])</f>
        <v>5998</v>
      </c>
      <c r="O71" t="str">
        <f>TEXT(Table1[[#This Row],[Order Date]],"mmmm")</f>
        <v>May</v>
      </c>
      <c r="P71" t="str">
        <f>IF(Table1[[#This Row],[Revenue (₹)  ← add]]&gt;=15000,"High Value",IF(Table1[[#This Row],[Revenue (₹)  ← add]]&gt;=5000,"Medium","Low"))</f>
        <v>Medium</v>
      </c>
      <c r="Q71">
        <f>VLOOKUP(Table1[[#This Row],[Product]],Table2[],4,FALSE)</f>
        <v>1700</v>
      </c>
      <c r="R71">
        <f>Table1[[#This Row],[Revenue (₹)  ← add]]-Table1[[#This Row],[Cost Price  ← add]]</f>
        <v>4298</v>
      </c>
      <c r="S71">
        <f>IF(C71="", "",Table1[[#This Row],[Delivery Date]]-Table1[[#This Row],[Order Date]])</f>
        <v>4</v>
      </c>
      <c r="T71" t="str">
        <f>TEXT(Table1[[#This Row],[Order Date]],"DDDD")</f>
        <v>Friday</v>
      </c>
    </row>
    <row r="72" spans="1:20" x14ac:dyDescent="0.3">
      <c r="A72" s="2" t="s">
        <v>305</v>
      </c>
      <c r="B72" s="10">
        <v>45779</v>
      </c>
      <c r="C72" s="10">
        <v>45784</v>
      </c>
      <c r="D72" s="2" t="s">
        <v>222</v>
      </c>
      <c r="E72" s="2" t="s">
        <v>223</v>
      </c>
      <c r="F72" s="2" t="s">
        <v>249</v>
      </c>
      <c r="G72" s="2" t="s">
        <v>198</v>
      </c>
      <c r="H72" s="2" t="s">
        <v>199</v>
      </c>
      <c r="I72" s="2">
        <v>1</v>
      </c>
      <c r="J72" s="11">
        <v>2999</v>
      </c>
      <c r="K72" s="12">
        <v>0.2</v>
      </c>
      <c r="L72" s="2" t="s">
        <v>214</v>
      </c>
      <c r="M72" s="2" t="s">
        <v>195</v>
      </c>
      <c r="N72">
        <f>Table1[[#This Row],[Quantity]]*Table1[[#This Row],[Unit Price (₹)]]*(1-Table1[[#This Row],[Discount %]])</f>
        <v>2399.2000000000003</v>
      </c>
      <c r="O72" t="str">
        <f>TEXT(Table1[[#This Row],[Order Date]],"mmmm")</f>
        <v>May</v>
      </c>
      <c r="P72" t="str">
        <f>IF(Table1[[#This Row],[Revenue (₹)  ← add]]&gt;=15000,"High Value",IF(Table1[[#This Row],[Revenue (₹)  ← add]]&gt;=5000,"Medium","Low"))</f>
        <v>Low</v>
      </c>
      <c r="Q72">
        <f>VLOOKUP(Table1[[#This Row],[Product]],Table2[],4,FALSE)</f>
        <v>1700</v>
      </c>
      <c r="R72">
        <f>Table1[[#This Row],[Revenue (₹)  ← add]]-Table1[[#This Row],[Cost Price  ← add]]</f>
        <v>699.20000000000027</v>
      </c>
      <c r="S72">
        <f>IF(C72="", "",Table1[[#This Row],[Delivery Date]]-Table1[[#This Row],[Order Date]])</f>
        <v>5</v>
      </c>
      <c r="T72" t="str">
        <f>TEXT(Table1[[#This Row],[Order Date]],"DDDD")</f>
        <v>Friday</v>
      </c>
    </row>
    <row r="73" spans="1:20" x14ac:dyDescent="0.3">
      <c r="A73" s="2" t="s">
        <v>306</v>
      </c>
      <c r="B73" s="10">
        <v>45780</v>
      </c>
      <c r="C73" s="10">
        <v>45785</v>
      </c>
      <c r="D73" s="2" t="s">
        <v>222</v>
      </c>
      <c r="E73" s="2" t="s">
        <v>231</v>
      </c>
      <c r="F73" s="2" t="s">
        <v>249</v>
      </c>
      <c r="G73" s="2" t="s">
        <v>217</v>
      </c>
      <c r="H73" s="2" t="s">
        <v>218</v>
      </c>
      <c r="I73" s="2">
        <v>6</v>
      </c>
      <c r="J73" s="11">
        <v>1499</v>
      </c>
      <c r="K73" s="12">
        <v>0.05</v>
      </c>
      <c r="L73" s="2" t="s">
        <v>203</v>
      </c>
      <c r="M73" s="2" t="s">
        <v>195</v>
      </c>
      <c r="N73">
        <f>Table1[[#This Row],[Quantity]]*Table1[[#This Row],[Unit Price (₹)]]*(1-Table1[[#This Row],[Discount %]])</f>
        <v>8544.2999999999993</v>
      </c>
      <c r="O73" t="str">
        <f>TEXT(Table1[[#This Row],[Order Date]],"mmmm")</f>
        <v>May</v>
      </c>
      <c r="P73" t="str">
        <f>IF(Table1[[#This Row],[Revenue (₹)  ← add]]&gt;=15000,"High Value",IF(Table1[[#This Row],[Revenue (₹)  ← add]]&gt;=5000,"Medium","Low"))</f>
        <v>Medium</v>
      </c>
      <c r="Q73">
        <f>VLOOKUP(Table1[[#This Row],[Product]],Table2[],4,FALSE)</f>
        <v>850</v>
      </c>
      <c r="R73">
        <f>Table1[[#This Row],[Revenue (₹)  ← add]]-Table1[[#This Row],[Cost Price  ← add]]</f>
        <v>7694.2999999999993</v>
      </c>
      <c r="S73">
        <f>IF(C73="", "",Table1[[#This Row],[Delivery Date]]-Table1[[#This Row],[Order Date]])</f>
        <v>5</v>
      </c>
      <c r="T73" t="str">
        <f>TEXT(Table1[[#This Row],[Order Date]],"DDDD")</f>
        <v>Saturday</v>
      </c>
    </row>
    <row r="74" spans="1:20" x14ac:dyDescent="0.3">
      <c r="A74" s="2" t="s">
        <v>307</v>
      </c>
      <c r="B74" s="10">
        <v>45781</v>
      </c>
      <c r="C74" s="10">
        <v>45789</v>
      </c>
      <c r="D74" s="2" t="s">
        <v>238</v>
      </c>
      <c r="E74" s="2" t="s">
        <v>254</v>
      </c>
      <c r="F74" s="2" t="s">
        <v>244</v>
      </c>
      <c r="G74" s="2" t="s">
        <v>201</v>
      </c>
      <c r="H74" s="2" t="s">
        <v>202</v>
      </c>
      <c r="I74" s="2">
        <v>2</v>
      </c>
      <c r="J74" s="11">
        <v>8499</v>
      </c>
      <c r="K74" s="12">
        <v>0</v>
      </c>
      <c r="L74" s="2" t="s">
        <v>194</v>
      </c>
      <c r="M74" s="2" t="s">
        <v>219</v>
      </c>
      <c r="N74">
        <f>Table1[[#This Row],[Quantity]]*Table1[[#This Row],[Unit Price (₹)]]*(1-Table1[[#This Row],[Discount %]])</f>
        <v>16998</v>
      </c>
      <c r="O74" t="str">
        <f>TEXT(Table1[[#This Row],[Order Date]],"mmmm")</f>
        <v>May</v>
      </c>
      <c r="P74" t="str">
        <f>IF(Table1[[#This Row],[Revenue (₹)  ← add]]&gt;=15000,"High Value",IF(Table1[[#This Row],[Revenue (₹)  ← add]]&gt;=5000,"Medium","Low"))</f>
        <v>High Value</v>
      </c>
      <c r="Q74">
        <f>VLOOKUP(Table1[[#This Row],[Product]],Table2[],4,FALSE)</f>
        <v>5200</v>
      </c>
      <c r="R74">
        <f>Table1[[#This Row],[Revenue (₹)  ← add]]-Table1[[#This Row],[Cost Price  ← add]]</f>
        <v>11798</v>
      </c>
      <c r="S74">
        <f>IF(C74="", "",Table1[[#This Row],[Delivery Date]]-Table1[[#This Row],[Order Date]])</f>
        <v>8</v>
      </c>
      <c r="T74" t="str">
        <f>TEXT(Table1[[#This Row],[Order Date]],"DDDD")</f>
        <v>Sunday</v>
      </c>
    </row>
    <row r="75" spans="1:20" x14ac:dyDescent="0.3">
      <c r="A75" s="2" t="s">
        <v>308</v>
      </c>
      <c r="B75" s="10">
        <v>45782</v>
      </c>
      <c r="C75" s="10">
        <v>45789</v>
      </c>
      <c r="D75" s="2" t="s">
        <v>238</v>
      </c>
      <c r="E75" s="2" t="s">
        <v>239</v>
      </c>
      <c r="F75" s="2" t="s">
        <v>244</v>
      </c>
      <c r="G75" s="2" t="s">
        <v>217</v>
      </c>
      <c r="H75" s="2" t="s">
        <v>255</v>
      </c>
      <c r="I75" s="2">
        <v>6</v>
      </c>
      <c r="J75" s="11">
        <v>1999</v>
      </c>
      <c r="K75" s="12">
        <v>0</v>
      </c>
      <c r="L75" s="2" t="s">
        <v>225</v>
      </c>
      <c r="M75" s="2" t="s">
        <v>195</v>
      </c>
      <c r="N75">
        <f>Table1[[#This Row],[Quantity]]*Table1[[#This Row],[Unit Price (₹)]]*(1-Table1[[#This Row],[Discount %]])</f>
        <v>11994</v>
      </c>
      <c r="O75" t="str">
        <f>TEXT(Table1[[#This Row],[Order Date]],"mmmm")</f>
        <v>May</v>
      </c>
      <c r="P75" t="str">
        <f>IF(Table1[[#This Row],[Revenue (₹)  ← add]]&gt;=15000,"High Value",IF(Table1[[#This Row],[Revenue (₹)  ← add]]&gt;=5000,"Medium","Low"))</f>
        <v>Medium</v>
      </c>
      <c r="Q75">
        <f>VLOOKUP(Table1[[#This Row],[Product]],Table2[],4,FALSE)</f>
        <v>1100</v>
      </c>
      <c r="R75">
        <f>Table1[[#This Row],[Revenue (₹)  ← add]]-Table1[[#This Row],[Cost Price  ← add]]</f>
        <v>10894</v>
      </c>
      <c r="S75">
        <f>IF(C75="", "",Table1[[#This Row],[Delivery Date]]-Table1[[#This Row],[Order Date]])</f>
        <v>7</v>
      </c>
      <c r="T75" t="str">
        <f>TEXT(Table1[[#This Row],[Order Date]],"DDDD")</f>
        <v>Monday</v>
      </c>
    </row>
    <row r="76" spans="1:20" x14ac:dyDescent="0.3">
      <c r="A76" s="2" t="s">
        <v>309</v>
      </c>
      <c r="B76" s="10">
        <v>45783</v>
      </c>
      <c r="C76" s="10">
        <v>45788</v>
      </c>
      <c r="D76" s="2" t="s">
        <v>189</v>
      </c>
      <c r="E76" s="2" t="s">
        <v>190</v>
      </c>
      <c r="F76" s="2" t="s">
        <v>213</v>
      </c>
      <c r="G76" s="2" t="s">
        <v>201</v>
      </c>
      <c r="H76" s="2" t="s">
        <v>250</v>
      </c>
      <c r="I76" s="2">
        <v>1</v>
      </c>
      <c r="J76" s="11">
        <v>5499</v>
      </c>
      <c r="K76" s="12">
        <v>0.1</v>
      </c>
      <c r="L76" s="2" t="s">
        <v>229</v>
      </c>
      <c r="M76" s="2" t="s">
        <v>195</v>
      </c>
      <c r="N76">
        <f>Table1[[#This Row],[Quantity]]*Table1[[#This Row],[Unit Price (₹)]]*(1-Table1[[#This Row],[Discount %]])</f>
        <v>4949.1000000000004</v>
      </c>
      <c r="O76" t="str">
        <f>TEXT(Table1[[#This Row],[Order Date]],"mmmm")</f>
        <v>May</v>
      </c>
      <c r="P76" t="str">
        <f>IF(Table1[[#This Row],[Revenue (₹)  ← add]]&gt;=15000,"High Value",IF(Table1[[#This Row],[Revenue (₹)  ← add]]&gt;=5000,"Medium","Low"))</f>
        <v>Low</v>
      </c>
      <c r="Q76">
        <f>VLOOKUP(Table1[[#This Row],[Product]],Table2[],4,FALSE)</f>
        <v>3300</v>
      </c>
      <c r="R76">
        <f>Table1[[#This Row],[Revenue (₹)  ← add]]-Table1[[#This Row],[Cost Price  ← add]]</f>
        <v>1649.1000000000004</v>
      </c>
      <c r="S76">
        <f>IF(C76="", "",Table1[[#This Row],[Delivery Date]]-Table1[[#This Row],[Order Date]])</f>
        <v>5</v>
      </c>
      <c r="T76" t="str">
        <f>TEXT(Table1[[#This Row],[Order Date]],"DDDD")</f>
        <v>Tuesday</v>
      </c>
    </row>
    <row r="77" spans="1:20" x14ac:dyDescent="0.3">
      <c r="A77" s="2" t="s">
        <v>310</v>
      </c>
      <c r="B77" s="10">
        <v>45784</v>
      </c>
      <c r="C77" s="10">
        <v>45790</v>
      </c>
      <c r="D77" s="2" t="s">
        <v>222</v>
      </c>
      <c r="E77" s="2" t="s">
        <v>223</v>
      </c>
      <c r="F77" s="2" t="s">
        <v>224</v>
      </c>
      <c r="G77" s="2" t="s">
        <v>192</v>
      </c>
      <c r="H77" s="2" t="s">
        <v>234</v>
      </c>
      <c r="I77" s="2">
        <v>12</v>
      </c>
      <c r="J77" s="11">
        <v>599</v>
      </c>
      <c r="K77" s="12">
        <v>0</v>
      </c>
      <c r="L77" s="2" t="s">
        <v>203</v>
      </c>
      <c r="M77" s="2" t="s">
        <v>195</v>
      </c>
      <c r="N77">
        <f>Table1[[#This Row],[Quantity]]*Table1[[#This Row],[Unit Price (₹)]]*(1-Table1[[#This Row],[Discount %]])</f>
        <v>7188</v>
      </c>
      <c r="O77" t="str">
        <f>TEXT(Table1[[#This Row],[Order Date]],"mmmm")</f>
        <v>May</v>
      </c>
      <c r="P77" t="str">
        <f>IF(Table1[[#This Row],[Revenue (₹)  ← add]]&gt;=15000,"High Value",IF(Table1[[#This Row],[Revenue (₹)  ← add]]&gt;=5000,"Medium","Low"))</f>
        <v>Medium</v>
      </c>
      <c r="Q77">
        <f>VLOOKUP(Table1[[#This Row],[Product]],Table2[],4,FALSE)</f>
        <v>320</v>
      </c>
      <c r="R77">
        <f>Table1[[#This Row],[Revenue (₹)  ← add]]-Table1[[#This Row],[Cost Price  ← add]]</f>
        <v>6868</v>
      </c>
      <c r="S77">
        <f>IF(C77="", "",Table1[[#This Row],[Delivery Date]]-Table1[[#This Row],[Order Date]])</f>
        <v>6</v>
      </c>
      <c r="T77" t="str">
        <f>TEXT(Table1[[#This Row],[Order Date]],"DDDD")</f>
        <v>Wednesday</v>
      </c>
    </row>
    <row r="78" spans="1:20" x14ac:dyDescent="0.3">
      <c r="A78" s="2" t="s">
        <v>311</v>
      </c>
      <c r="B78" s="10">
        <v>45786</v>
      </c>
      <c r="C78" s="10">
        <v>45788</v>
      </c>
      <c r="D78" s="2" t="s">
        <v>222</v>
      </c>
      <c r="E78" s="2" t="s">
        <v>223</v>
      </c>
      <c r="F78" s="2" t="s">
        <v>249</v>
      </c>
      <c r="G78" s="2" t="s">
        <v>192</v>
      </c>
      <c r="H78" s="2" t="s">
        <v>193</v>
      </c>
      <c r="I78" s="2">
        <v>6</v>
      </c>
      <c r="J78" s="11">
        <v>249</v>
      </c>
      <c r="K78" s="12">
        <v>0.05</v>
      </c>
      <c r="L78" s="2" t="s">
        <v>229</v>
      </c>
      <c r="M78" s="2" t="s">
        <v>195</v>
      </c>
      <c r="N78">
        <f>Table1[[#This Row],[Quantity]]*Table1[[#This Row],[Unit Price (₹)]]*(1-Table1[[#This Row],[Discount %]])</f>
        <v>1419.3</v>
      </c>
      <c r="O78" t="str">
        <f>TEXT(Table1[[#This Row],[Order Date]],"mmmm")</f>
        <v>May</v>
      </c>
      <c r="P78" t="str">
        <f>IF(Table1[[#This Row],[Revenue (₹)  ← add]]&gt;=15000,"High Value",IF(Table1[[#This Row],[Revenue (₹)  ← add]]&gt;=5000,"Medium","Low"))</f>
        <v>Low</v>
      </c>
      <c r="Q78">
        <f>VLOOKUP(Table1[[#This Row],[Product]],Table2[],4,FALSE)</f>
        <v>120</v>
      </c>
      <c r="R78">
        <f>Table1[[#This Row],[Revenue (₹)  ← add]]-Table1[[#This Row],[Cost Price  ← add]]</f>
        <v>1299.3</v>
      </c>
      <c r="S78">
        <f>IF(C78="", "",Table1[[#This Row],[Delivery Date]]-Table1[[#This Row],[Order Date]])</f>
        <v>2</v>
      </c>
      <c r="T78" t="str">
        <f>TEXT(Table1[[#This Row],[Order Date]],"DDDD")</f>
        <v>Friday</v>
      </c>
    </row>
    <row r="79" spans="1:20" x14ac:dyDescent="0.3">
      <c r="A79" s="2" t="s">
        <v>312</v>
      </c>
      <c r="B79" s="10">
        <v>45787</v>
      </c>
      <c r="C79" s="10">
        <v>45794</v>
      </c>
      <c r="D79" s="2" t="s">
        <v>205</v>
      </c>
      <c r="E79" s="2" t="s">
        <v>227</v>
      </c>
      <c r="F79" s="2" t="s">
        <v>211</v>
      </c>
      <c r="G79" s="2" t="s">
        <v>192</v>
      </c>
      <c r="H79" s="2" t="s">
        <v>247</v>
      </c>
      <c r="I79" s="2">
        <v>12</v>
      </c>
      <c r="J79" s="11">
        <v>349</v>
      </c>
      <c r="K79" s="12">
        <v>0.2</v>
      </c>
      <c r="L79" s="2" t="s">
        <v>225</v>
      </c>
      <c r="M79" s="2" t="s">
        <v>195</v>
      </c>
      <c r="N79">
        <f>Table1[[#This Row],[Quantity]]*Table1[[#This Row],[Unit Price (₹)]]*(1-Table1[[#This Row],[Discount %]])</f>
        <v>3350.4</v>
      </c>
      <c r="O79" t="str">
        <f>TEXT(Table1[[#This Row],[Order Date]],"mmmm")</f>
        <v>May</v>
      </c>
      <c r="P79" t="str">
        <f>IF(Table1[[#This Row],[Revenue (₹)  ← add]]&gt;=15000,"High Value",IF(Table1[[#This Row],[Revenue (₹)  ← add]]&gt;=5000,"Medium","Low"))</f>
        <v>Low</v>
      </c>
      <c r="Q79">
        <f>VLOOKUP(Table1[[#This Row],[Product]],Table2[],4,FALSE)</f>
        <v>180</v>
      </c>
      <c r="R79">
        <f>Table1[[#This Row],[Revenue (₹)  ← add]]-Table1[[#This Row],[Cost Price  ← add]]</f>
        <v>3170.4</v>
      </c>
      <c r="S79">
        <f>IF(C79="", "",Table1[[#This Row],[Delivery Date]]-Table1[[#This Row],[Order Date]])</f>
        <v>7</v>
      </c>
      <c r="T79" t="str">
        <f>TEXT(Table1[[#This Row],[Order Date]],"DDDD")</f>
        <v>Saturday</v>
      </c>
    </row>
    <row r="80" spans="1:20" x14ac:dyDescent="0.3">
      <c r="A80" s="2" t="s">
        <v>313</v>
      </c>
      <c r="B80" s="10">
        <v>45787</v>
      </c>
      <c r="C80" s="10">
        <v>45793</v>
      </c>
      <c r="D80" s="2" t="s">
        <v>205</v>
      </c>
      <c r="E80" s="2" t="s">
        <v>227</v>
      </c>
      <c r="F80" s="2" t="s">
        <v>207</v>
      </c>
      <c r="G80" s="2" t="s">
        <v>201</v>
      </c>
      <c r="H80" s="2" t="s">
        <v>314</v>
      </c>
      <c r="I80" s="2">
        <v>3</v>
      </c>
      <c r="J80" s="11">
        <v>6999</v>
      </c>
      <c r="K80" s="12">
        <v>0.1</v>
      </c>
      <c r="L80" s="2" t="s">
        <v>229</v>
      </c>
      <c r="M80" s="2" t="s">
        <v>195</v>
      </c>
      <c r="N80">
        <f>Table1[[#This Row],[Quantity]]*Table1[[#This Row],[Unit Price (₹)]]*(1-Table1[[#This Row],[Discount %]])</f>
        <v>18897.3</v>
      </c>
      <c r="O80" t="str">
        <f>TEXT(Table1[[#This Row],[Order Date]],"mmmm")</f>
        <v>May</v>
      </c>
      <c r="P80" t="str">
        <f>IF(Table1[[#This Row],[Revenue (₹)  ← add]]&gt;=15000,"High Value",IF(Table1[[#This Row],[Revenue (₹)  ← add]]&gt;=5000,"Medium","Low"))</f>
        <v>High Value</v>
      </c>
      <c r="Q80">
        <f>VLOOKUP(Table1[[#This Row],[Product]],Table2[],4,FALSE)</f>
        <v>4200</v>
      </c>
      <c r="R80">
        <f>Table1[[#This Row],[Revenue (₹)  ← add]]-Table1[[#This Row],[Cost Price  ← add]]</f>
        <v>14697.3</v>
      </c>
      <c r="S80">
        <f>IF(C80="", "",Table1[[#This Row],[Delivery Date]]-Table1[[#This Row],[Order Date]])</f>
        <v>6</v>
      </c>
      <c r="T80" t="str">
        <f>TEXT(Table1[[#This Row],[Order Date]],"DDDD")</f>
        <v>Saturday</v>
      </c>
    </row>
    <row r="81" spans="1:20" x14ac:dyDescent="0.3">
      <c r="A81" s="2" t="s">
        <v>315</v>
      </c>
      <c r="B81" s="10">
        <v>45787</v>
      </c>
      <c r="C81" s="10">
        <v>45791</v>
      </c>
      <c r="D81" s="2" t="s">
        <v>205</v>
      </c>
      <c r="E81" s="2" t="s">
        <v>210</v>
      </c>
      <c r="F81" s="2" t="s">
        <v>211</v>
      </c>
      <c r="G81" s="2" t="s">
        <v>217</v>
      </c>
      <c r="H81" s="2" t="s">
        <v>236</v>
      </c>
      <c r="I81" s="2">
        <v>3</v>
      </c>
      <c r="J81" s="11">
        <v>2499</v>
      </c>
      <c r="K81" s="12">
        <v>0.05</v>
      </c>
      <c r="L81" s="2" t="s">
        <v>225</v>
      </c>
      <c r="M81" s="2" t="s">
        <v>195</v>
      </c>
      <c r="N81">
        <f>Table1[[#This Row],[Quantity]]*Table1[[#This Row],[Unit Price (₹)]]*(1-Table1[[#This Row],[Discount %]])</f>
        <v>7122.15</v>
      </c>
      <c r="O81" t="str">
        <f>TEXT(Table1[[#This Row],[Order Date]],"mmmm")</f>
        <v>May</v>
      </c>
      <c r="P81" t="str">
        <f>IF(Table1[[#This Row],[Revenue (₹)  ← add]]&gt;=15000,"High Value",IF(Table1[[#This Row],[Revenue (₹)  ← add]]&gt;=5000,"Medium","Low"))</f>
        <v>Medium</v>
      </c>
      <c r="Q81">
        <f>VLOOKUP(Table1[[#This Row],[Product]],Table2[],4,FALSE)</f>
        <v>1500</v>
      </c>
      <c r="R81">
        <f>Table1[[#This Row],[Revenue (₹)  ← add]]-Table1[[#This Row],[Cost Price  ← add]]</f>
        <v>5622.15</v>
      </c>
      <c r="S81">
        <f>IF(C81="", "",Table1[[#This Row],[Delivery Date]]-Table1[[#This Row],[Order Date]])</f>
        <v>4</v>
      </c>
      <c r="T81" t="str">
        <f>TEXT(Table1[[#This Row],[Order Date]],"DDDD")</f>
        <v>Saturday</v>
      </c>
    </row>
    <row r="82" spans="1:20" x14ac:dyDescent="0.3">
      <c r="A82" s="2" t="s">
        <v>316</v>
      </c>
      <c r="B82" s="10">
        <v>45789</v>
      </c>
      <c r="C82" s="10">
        <v>45793</v>
      </c>
      <c r="D82" s="2" t="s">
        <v>238</v>
      </c>
      <c r="E82" s="2" t="s">
        <v>254</v>
      </c>
      <c r="F82" s="2" t="s">
        <v>240</v>
      </c>
      <c r="G82" s="2" t="s">
        <v>217</v>
      </c>
      <c r="H82" s="2" t="s">
        <v>255</v>
      </c>
      <c r="I82" s="2">
        <v>5</v>
      </c>
      <c r="J82" s="11">
        <v>1999</v>
      </c>
      <c r="K82" s="12">
        <v>0.1</v>
      </c>
      <c r="L82" s="2" t="s">
        <v>229</v>
      </c>
      <c r="M82" s="2" t="s">
        <v>219</v>
      </c>
      <c r="N82">
        <f>Table1[[#This Row],[Quantity]]*Table1[[#This Row],[Unit Price (₹)]]*(1-Table1[[#This Row],[Discount %]])</f>
        <v>8995.5</v>
      </c>
      <c r="O82" t="str">
        <f>TEXT(Table1[[#This Row],[Order Date]],"mmmm")</f>
        <v>May</v>
      </c>
      <c r="P82" t="str">
        <f>IF(Table1[[#This Row],[Revenue (₹)  ← add]]&gt;=15000,"High Value",IF(Table1[[#This Row],[Revenue (₹)  ← add]]&gt;=5000,"Medium","Low"))</f>
        <v>Medium</v>
      </c>
      <c r="Q82">
        <f>VLOOKUP(Table1[[#This Row],[Product]],Table2[],4,FALSE)</f>
        <v>1100</v>
      </c>
      <c r="R82">
        <f>Table1[[#This Row],[Revenue (₹)  ← add]]-Table1[[#This Row],[Cost Price  ← add]]</f>
        <v>7895.5</v>
      </c>
      <c r="S82">
        <f>IF(C82="", "",Table1[[#This Row],[Delivery Date]]-Table1[[#This Row],[Order Date]])</f>
        <v>4</v>
      </c>
      <c r="T82" t="str">
        <f>TEXT(Table1[[#This Row],[Order Date]],"DDDD")</f>
        <v>Monday</v>
      </c>
    </row>
    <row r="83" spans="1:20" x14ac:dyDescent="0.3">
      <c r="A83" s="2" t="s">
        <v>317</v>
      </c>
      <c r="B83" s="10">
        <v>45789</v>
      </c>
      <c r="C83" s="10">
        <v>45798</v>
      </c>
      <c r="D83" s="2" t="s">
        <v>189</v>
      </c>
      <c r="E83" s="2" t="s">
        <v>197</v>
      </c>
      <c r="F83" s="2" t="s">
        <v>213</v>
      </c>
      <c r="G83" s="2" t="s">
        <v>192</v>
      </c>
      <c r="H83" s="2" t="s">
        <v>234</v>
      </c>
      <c r="I83" s="2">
        <v>14</v>
      </c>
      <c r="J83" s="11">
        <v>599</v>
      </c>
      <c r="K83" s="12">
        <v>0.1</v>
      </c>
      <c r="L83" s="2" t="s">
        <v>225</v>
      </c>
      <c r="M83" s="2" t="s">
        <v>195</v>
      </c>
      <c r="N83">
        <f>Table1[[#This Row],[Quantity]]*Table1[[#This Row],[Unit Price (₹)]]*(1-Table1[[#This Row],[Discount %]])</f>
        <v>7547.4000000000005</v>
      </c>
      <c r="O83" t="str">
        <f>TEXT(Table1[[#This Row],[Order Date]],"mmmm")</f>
        <v>May</v>
      </c>
      <c r="P83" t="str">
        <f>IF(Table1[[#This Row],[Revenue (₹)  ← add]]&gt;=15000,"High Value",IF(Table1[[#This Row],[Revenue (₹)  ← add]]&gt;=5000,"Medium","Low"))</f>
        <v>Medium</v>
      </c>
      <c r="Q83">
        <f>VLOOKUP(Table1[[#This Row],[Product]],Table2[],4,FALSE)</f>
        <v>320</v>
      </c>
      <c r="R83">
        <f>Table1[[#This Row],[Revenue (₹)  ← add]]-Table1[[#This Row],[Cost Price  ← add]]</f>
        <v>7227.4000000000005</v>
      </c>
      <c r="S83">
        <f>IF(C83="", "",Table1[[#This Row],[Delivery Date]]-Table1[[#This Row],[Order Date]])</f>
        <v>9</v>
      </c>
      <c r="T83" t="str">
        <f>TEXT(Table1[[#This Row],[Order Date]],"DDDD")</f>
        <v>Monday</v>
      </c>
    </row>
    <row r="84" spans="1:20" x14ac:dyDescent="0.3">
      <c r="A84" s="2" t="s">
        <v>318</v>
      </c>
      <c r="B84" s="10">
        <v>45791</v>
      </c>
      <c r="C84" s="10"/>
      <c r="D84" s="2" t="s">
        <v>205</v>
      </c>
      <c r="E84" s="2" t="s">
        <v>210</v>
      </c>
      <c r="F84" s="2" t="s">
        <v>211</v>
      </c>
      <c r="G84" s="2" t="s">
        <v>198</v>
      </c>
      <c r="H84" s="2" t="s">
        <v>208</v>
      </c>
      <c r="I84" s="2">
        <v>7</v>
      </c>
      <c r="J84" s="11">
        <v>599</v>
      </c>
      <c r="K84" s="12">
        <v>0.05</v>
      </c>
      <c r="L84" s="2" t="s">
        <v>225</v>
      </c>
      <c r="M84" s="2" t="s">
        <v>215</v>
      </c>
      <c r="N84">
        <f>Table1[[#This Row],[Quantity]]*Table1[[#This Row],[Unit Price (₹)]]*(1-Table1[[#This Row],[Discount %]])</f>
        <v>3983.35</v>
      </c>
      <c r="O84" t="str">
        <f>TEXT(Table1[[#This Row],[Order Date]],"mmmm")</f>
        <v>May</v>
      </c>
      <c r="P84" t="str">
        <f>IF(Table1[[#This Row],[Revenue (₹)  ← add]]&gt;=15000,"High Value",IF(Table1[[#This Row],[Revenue (₹)  ← add]]&gt;=5000,"Medium","Low"))</f>
        <v>Low</v>
      </c>
      <c r="Q84">
        <f>VLOOKUP(Table1[[#This Row],[Product]],Table2[],4,FALSE)</f>
        <v>300</v>
      </c>
      <c r="R84">
        <f>Table1[[#This Row],[Revenue (₹)  ← add]]-Table1[[#This Row],[Cost Price  ← add]]</f>
        <v>3683.35</v>
      </c>
      <c r="S84" t="str">
        <f>IF(C84="", "",Table1[[#This Row],[Delivery Date]]-Table1[[#This Row],[Order Date]])</f>
        <v/>
      </c>
      <c r="T84" t="str">
        <f>TEXT(Table1[[#This Row],[Order Date]],"DDDD")</f>
        <v>Wednesday</v>
      </c>
    </row>
    <row r="85" spans="1:20" x14ac:dyDescent="0.3">
      <c r="A85" s="2" t="s">
        <v>319</v>
      </c>
      <c r="B85" s="10">
        <v>45793</v>
      </c>
      <c r="C85" s="10">
        <v>45802</v>
      </c>
      <c r="D85" s="2" t="s">
        <v>238</v>
      </c>
      <c r="E85" s="2" t="s">
        <v>239</v>
      </c>
      <c r="F85" s="2" t="s">
        <v>240</v>
      </c>
      <c r="G85" s="2" t="s">
        <v>201</v>
      </c>
      <c r="H85" s="2" t="s">
        <v>202</v>
      </c>
      <c r="I85" s="2">
        <v>3</v>
      </c>
      <c r="J85" s="11">
        <v>8499</v>
      </c>
      <c r="K85" s="12">
        <v>0.15</v>
      </c>
      <c r="L85" s="2" t="s">
        <v>214</v>
      </c>
      <c r="M85" s="2" t="s">
        <v>195</v>
      </c>
      <c r="N85">
        <f>Table1[[#This Row],[Quantity]]*Table1[[#This Row],[Unit Price (₹)]]*(1-Table1[[#This Row],[Discount %]])</f>
        <v>21672.45</v>
      </c>
      <c r="O85" t="str">
        <f>TEXT(Table1[[#This Row],[Order Date]],"mmmm")</f>
        <v>May</v>
      </c>
      <c r="P85" t="str">
        <f>IF(Table1[[#This Row],[Revenue (₹)  ← add]]&gt;=15000,"High Value",IF(Table1[[#This Row],[Revenue (₹)  ← add]]&gt;=5000,"Medium","Low"))</f>
        <v>High Value</v>
      </c>
      <c r="Q85">
        <f>VLOOKUP(Table1[[#This Row],[Product]],Table2[],4,FALSE)</f>
        <v>5200</v>
      </c>
      <c r="R85">
        <f>Table1[[#This Row],[Revenue (₹)  ← add]]-Table1[[#This Row],[Cost Price  ← add]]</f>
        <v>16472.45</v>
      </c>
      <c r="S85">
        <f>IF(C85="", "",Table1[[#This Row],[Delivery Date]]-Table1[[#This Row],[Order Date]])</f>
        <v>9</v>
      </c>
      <c r="T85" t="str">
        <f>TEXT(Table1[[#This Row],[Order Date]],"DDDD")</f>
        <v>Friday</v>
      </c>
    </row>
    <row r="86" spans="1:20" x14ac:dyDescent="0.3">
      <c r="A86" s="2" t="s">
        <v>320</v>
      </c>
      <c r="B86" s="10">
        <v>45794</v>
      </c>
      <c r="C86" s="10">
        <v>45802</v>
      </c>
      <c r="D86" s="2" t="s">
        <v>238</v>
      </c>
      <c r="E86" s="2" t="s">
        <v>243</v>
      </c>
      <c r="F86" s="2" t="s">
        <v>240</v>
      </c>
      <c r="G86" s="2" t="s">
        <v>198</v>
      </c>
      <c r="H86" s="2" t="s">
        <v>208</v>
      </c>
      <c r="I86" s="2">
        <v>5</v>
      </c>
      <c r="J86" s="11">
        <v>599</v>
      </c>
      <c r="K86" s="12">
        <v>0.2</v>
      </c>
      <c r="L86" s="2" t="s">
        <v>229</v>
      </c>
      <c r="M86" s="2" t="s">
        <v>195</v>
      </c>
      <c r="N86">
        <f>Table1[[#This Row],[Quantity]]*Table1[[#This Row],[Unit Price (₹)]]*(1-Table1[[#This Row],[Discount %]])</f>
        <v>2396</v>
      </c>
      <c r="O86" t="str">
        <f>TEXT(Table1[[#This Row],[Order Date]],"mmmm")</f>
        <v>May</v>
      </c>
      <c r="P86" t="str">
        <f>IF(Table1[[#This Row],[Revenue (₹)  ← add]]&gt;=15000,"High Value",IF(Table1[[#This Row],[Revenue (₹)  ← add]]&gt;=5000,"Medium","Low"))</f>
        <v>Low</v>
      </c>
      <c r="Q86">
        <f>VLOOKUP(Table1[[#This Row],[Product]],Table2[],4,FALSE)</f>
        <v>300</v>
      </c>
      <c r="R86">
        <f>Table1[[#This Row],[Revenue (₹)  ← add]]-Table1[[#This Row],[Cost Price  ← add]]</f>
        <v>2096</v>
      </c>
      <c r="S86">
        <f>IF(C86="", "",Table1[[#This Row],[Delivery Date]]-Table1[[#This Row],[Order Date]])</f>
        <v>8</v>
      </c>
      <c r="T86" t="str">
        <f>TEXT(Table1[[#This Row],[Order Date]],"DDDD")</f>
        <v>Saturday</v>
      </c>
    </row>
    <row r="87" spans="1:20" x14ac:dyDescent="0.3">
      <c r="A87" s="2" t="s">
        <v>321</v>
      </c>
      <c r="B87" s="10">
        <v>45797</v>
      </c>
      <c r="C87" s="10">
        <v>45803</v>
      </c>
      <c r="D87" s="2" t="s">
        <v>238</v>
      </c>
      <c r="E87" s="2" t="s">
        <v>239</v>
      </c>
      <c r="F87" s="2" t="s">
        <v>244</v>
      </c>
      <c r="G87" s="2" t="s">
        <v>198</v>
      </c>
      <c r="H87" s="2" t="s">
        <v>199</v>
      </c>
      <c r="I87" s="2">
        <v>4</v>
      </c>
      <c r="J87" s="11">
        <v>2999</v>
      </c>
      <c r="K87" s="12">
        <v>0.05</v>
      </c>
      <c r="L87" s="2" t="s">
        <v>203</v>
      </c>
      <c r="M87" s="2" t="s">
        <v>195</v>
      </c>
      <c r="N87">
        <f>Table1[[#This Row],[Quantity]]*Table1[[#This Row],[Unit Price (₹)]]*(1-Table1[[#This Row],[Discount %]])</f>
        <v>11396.199999999999</v>
      </c>
      <c r="O87" t="str">
        <f>TEXT(Table1[[#This Row],[Order Date]],"mmmm")</f>
        <v>May</v>
      </c>
      <c r="P87" t="str">
        <f>IF(Table1[[#This Row],[Revenue (₹)  ← add]]&gt;=15000,"High Value",IF(Table1[[#This Row],[Revenue (₹)  ← add]]&gt;=5000,"Medium","Low"))</f>
        <v>Medium</v>
      </c>
      <c r="Q87">
        <f>VLOOKUP(Table1[[#This Row],[Product]],Table2[],4,FALSE)</f>
        <v>1700</v>
      </c>
      <c r="R87">
        <f>Table1[[#This Row],[Revenue (₹)  ← add]]-Table1[[#This Row],[Cost Price  ← add]]</f>
        <v>9696.1999999999989</v>
      </c>
      <c r="S87">
        <f>IF(C87="", "",Table1[[#This Row],[Delivery Date]]-Table1[[#This Row],[Order Date]])</f>
        <v>6</v>
      </c>
      <c r="T87" t="str">
        <f>TEXT(Table1[[#This Row],[Order Date]],"DDDD")</f>
        <v>Tuesday</v>
      </c>
    </row>
    <row r="88" spans="1:20" x14ac:dyDescent="0.3">
      <c r="A88" s="2" t="s">
        <v>322</v>
      </c>
      <c r="B88" s="10">
        <v>45799</v>
      </c>
      <c r="C88" s="10">
        <v>45802</v>
      </c>
      <c r="D88" s="2" t="s">
        <v>222</v>
      </c>
      <c r="E88" s="2" t="s">
        <v>259</v>
      </c>
      <c r="F88" s="2" t="s">
        <v>224</v>
      </c>
      <c r="G88" s="2" t="s">
        <v>192</v>
      </c>
      <c r="H88" s="2" t="s">
        <v>247</v>
      </c>
      <c r="I88" s="2">
        <v>6</v>
      </c>
      <c r="J88" s="11">
        <v>349</v>
      </c>
      <c r="K88" s="12">
        <v>0</v>
      </c>
      <c r="L88" s="2" t="s">
        <v>229</v>
      </c>
      <c r="M88" s="2" t="s">
        <v>195</v>
      </c>
      <c r="N88">
        <f>Table1[[#This Row],[Quantity]]*Table1[[#This Row],[Unit Price (₹)]]*(1-Table1[[#This Row],[Discount %]])</f>
        <v>2094</v>
      </c>
      <c r="O88" t="str">
        <f>TEXT(Table1[[#This Row],[Order Date]],"mmmm")</f>
        <v>May</v>
      </c>
      <c r="P88" t="str">
        <f>IF(Table1[[#This Row],[Revenue (₹)  ← add]]&gt;=15000,"High Value",IF(Table1[[#This Row],[Revenue (₹)  ← add]]&gt;=5000,"Medium","Low"))</f>
        <v>Low</v>
      </c>
      <c r="Q88">
        <f>VLOOKUP(Table1[[#This Row],[Product]],Table2[],4,FALSE)</f>
        <v>180</v>
      </c>
      <c r="R88">
        <f>Table1[[#This Row],[Revenue (₹)  ← add]]-Table1[[#This Row],[Cost Price  ← add]]</f>
        <v>1914</v>
      </c>
      <c r="S88">
        <f>IF(C88="", "",Table1[[#This Row],[Delivery Date]]-Table1[[#This Row],[Order Date]])</f>
        <v>3</v>
      </c>
      <c r="T88" t="str">
        <f>TEXT(Table1[[#This Row],[Order Date]],"DDDD")</f>
        <v>Thursday</v>
      </c>
    </row>
    <row r="89" spans="1:20" x14ac:dyDescent="0.3">
      <c r="A89" s="2" t="s">
        <v>323</v>
      </c>
      <c r="B89" s="10">
        <v>45800</v>
      </c>
      <c r="C89" s="10">
        <v>45809</v>
      </c>
      <c r="D89" s="2" t="s">
        <v>189</v>
      </c>
      <c r="E89" s="2" t="s">
        <v>190</v>
      </c>
      <c r="F89" s="2" t="s">
        <v>191</v>
      </c>
      <c r="G89" s="2" t="s">
        <v>192</v>
      </c>
      <c r="H89" s="2" t="s">
        <v>234</v>
      </c>
      <c r="I89" s="2">
        <v>13</v>
      </c>
      <c r="J89" s="11">
        <v>599</v>
      </c>
      <c r="K89" s="12">
        <v>0.05</v>
      </c>
      <c r="L89" s="2" t="s">
        <v>229</v>
      </c>
      <c r="M89" s="2" t="s">
        <v>195</v>
      </c>
      <c r="N89">
        <f>Table1[[#This Row],[Quantity]]*Table1[[#This Row],[Unit Price (₹)]]*(1-Table1[[#This Row],[Discount %]])</f>
        <v>7397.65</v>
      </c>
      <c r="O89" t="str">
        <f>TEXT(Table1[[#This Row],[Order Date]],"mmmm")</f>
        <v>May</v>
      </c>
      <c r="P89" t="str">
        <f>IF(Table1[[#This Row],[Revenue (₹)  ← add]]&gt;=15000,"High Value",IF(Table1[[#This Row],[Revenue (₹)  ← add]]&gt;=5000,"Medium","Low"))</f>
        <v>Medium</v>
      </c>
      <c r="Q89">
        <f>VLOOKUP(Table1[[#This Row],[Product]],Table2[],4,FALSE)</f>
        <v>320</v>
      </c>
      <c r="R89">
        <f>Table1[[#This Row],[Revenue (₹)  ← add]]-Table1[[#This Row],[Cost Price  ← add]]</f>
        <v>7077.65</v>
      </c>
      <c r="S89">
        <f>IF(C89="", "",Table1[[#This Row],[Delivery Date]]-Table1[[#This Row],[Order Date]])</f>
        <v>9</v>
      </c>
      <c r="T89" t="str">
        <f>TEXT(Table1[[#This Row],[Order Date]],"DDDD")</f>
        <v>Friday</v>
      </c>
    </row>
    <row r="90" spans="1:20" x14ac:dyDescent="0.3">
      <c r="A90" s="2" t="s">
        <v>324</v>
      </c>
      <c r="B90" s="10">
        <v>45801</v>
      </c>
      <c r="C90" s="10">
        <v>45809</v>
      </c>
      <c r="D90" s="2" t="s">
        <v>238</v>
      </c>
      <c r="E90" s="2" t="s">
        <v>254</v>
      </c>
      <c r="F90" s="2" t="s">
        <v>240</v>
      </c>
      <c r="G90" s="2" t="s">
        <v>192</v>
      </c>
      <c r="H90" s="2" t="s">
        <v>193</v>
      </c>
      <c r="I90" s="2">
        <v>18</v>
      </c>
      <c r="J90" s="11">
        <v>249</v>
      </c>
      <c r="K90" s="12">
        <v>0.05</v>
      </c>
      <c r="L90" s="2" t="s">
        <v>203</v>
      </c>
      <c r="M90" s="2" t="s">
        <v>195</v>
      </c>
      <c r="N90">
        <f>Table1[[#This Row],[Quantity]]*Table1[[#This Row],[Unit Price (₹)]]*(1-Table1[[#This Row],[Discount %]])</f>
        <v>4257.8999999999996</v>
      </c>
      <c r="O90" t="str">
        <f>TEXT(Table1[[#This Row],[Order Date]],"mmmm")</f>
        <v>May</v>
      </c>
      <c r="P90" t="str">
        <f>IF(Table1[[#This Row],[Revenue (₹)  ← add]]&gt;=15000,"High Value",IF(Table1[[#This Row],[Revenue (₹)  ← add]]&gt;=5000,"Medium","Low"))</f>
        <v>Low</v>
      </c>
      <c r="Q90">
        <f>VLOOKUP(Table1[[#This Row],[Product]],Table2[],4,FALSE)</f>
        <v>120</v>
      </c>
      <c r="R90">
        <f>Table1[[#This Row],[Revenue (₹)  ← add]]-Table1[[#This Row],[Cost Price  ← add]]</f>
        <v>4137.8999999999996</v>
      </c>
      <c r="S90">
        <f>IF(C90="", "",Table1[[#This Row],[Delivery Date]]-Table1[[#This Row],[Order Date]])</f>
        <v>8</v>
      </c>
      <c r="T90" t="str">
        <f>TEXT(Table1[[#This Row],[Order Date]],"DDDD")</f>
        <v>Saturday</v>
      </c>
    </row>
    <row r="91" spans="1:20" x14ac:dyDescent="0.3">
      <c r="A91" s="2" t="s">
        <v>325</v>
      </c>
      <c r="B91" s="10">
        <v>45802</v>
      </c>
      <c r="C91" s="10">
        <v>45804</v>
      </c>
      <c r="D91" s="2" t="s">
        <v>238</v>
      </c>
      <c r="E91" s="2" t="s">
        <v>243</v>
      </c>
      <c r="F91" s="2" t="s">
        <v>240</v>
      </c>
      <c r="G91" s="2" t="s">
        <v>217</v>
      </c>
      <c r="H91" s="2" t="s">
        <v>236</v>
      </c>
      <c r="I91" s="2">
        <v>4</v>
      </c>
      <c r="J91" s="11">
        <v>2499</v>
      </c>
      <c r="K91" s="12">
        <v>0</v>
      </c>
      <c r="L91" s="2" t="s">
        <v>225</v>
      </c>
      <c r="M91" s="2" t="s">
        <v>195</v>
      </c>
      <c r="N91">
        <f>Table1[[#This Row],[Quantity]]*Table1[[#This Row],[Unit Price (₹)]]*(1-Table1[[#This Row],[Discount %]])</f>
        <v>9996</v>
      </c>
      <c r="O91" t="str">
        <f>TEXT(Table1[[#This Row],[Order Date]],"mmmm")</f>
        <v>May</v>
      </c>
      <c r="P91" t="str">
        <f>IF(Table1[[#This Row],[Revenue (₹)  ← add]]&gt;=15000,"High Value",IF(Table1[[#This Row],[Revenue (₹)  ← add]]&gt;=5000,"Medium","Low"))</f>
        <v>Medium</v>
      </c>
      <c r="Q91">
        <f>VLOOKUP(Table1[[#This Row],[Product]],Table2[],4,FALSE)</f>
        <v>1500</v>
      </c>
      <c r="R91">
        <f>Table1[[#This Row],[Revenue (₹)  ← add]]-Table1[[#This Row],[Cost Price  ← add]]</f>
        <v>8496</v>
      </c>
      <c r="S91">
        <f>IF(C91="", "",Table1[[#This Row],[Delivery Date]]-Table1[[#This Row],[Order Date]])</f>
        <v>2</v>
      </c>
      <c r="T91" t="str">
        <f>TEXT(Table1[[#This Row],[Order Date]],"DDDD")</f>
        <v>Sunday</v>
      </c>
    </row>
    <row r="92" spans="1:20" x14ac:dyDescent="0.3">
      <c r="A92" s="2" t="s">
        <v>326</v>
      </c>
      <c r="B92" s="10">
        <v>45802</v>
      </c>
      <c r="C92" s="10">
        <v>45810</v>
      </c>
      <c r="D92" s="2" t="s">
        <v>238</v>
      </c>
      <c r="E92" s="2" t="s">
        <v>243</v>
      </c>
      <c r="F92" s="2" t="s">
        <v>240</v>
      </c>
      <c r="G92" s="2" t="s">
        <v>198</v>
      </c>
      <c r="H92" s="2" t="s">
        <v>199</v>
      </c>
      <c r="I92" s="2">
        <v>4</v>
      </c>
      <c r="J92" s="11">
        <v>2999</v>
      </c>
      <c r="K92" s="12">
        <v>0.1</v>
      </c>
      <c r="L92" s="2" t="s">
        <v>214</v>
      </c>
      <c r="M92" s="2" t="s">
        <v>195</v>
      </c>
      <c r="N92">
        <f>Table1[[#This Row],[Quantity]]*Table1[[#This Row],[Unit Price (₹)]]*(1-Table1[[#This Row],[Discount %]])</f>
        <v>10796.4</v>
      </c>
      <c r="O92" t="str">
        <f>TEXT(Table1[[#This Row],[Order Date]],"mmmm")</f>
        <v>May</v>
      </c>
      <c r="P92" t="str">
        <f>IF(Table1[[#This Row],[Revenue (₹)  ← add]]&gt;=15000,"High Value",IF(Table1[[#This Row],[Revenue (₹)  ← add]]&gt;=5000,"Medium","Low"))</f>
        <v>Medium</v>
      </c>
      <c r="Q92">
        <f>VLOOKUP(Table1[[#This Row],[Product]],Table2[],4,FALSE)</f>
        <v>1700</v>
      </c>
      <c r="R92">
        <f>Table1[[#This Row],[Revenue (₹)  ← add]]-Table1[[#This Row],[Cost Price  ← add]]</f>
        <v>9096.4</v>
      </c>
      <c r="S92">
        <f>IF(C92="", "",Table1[[#This Row],[Delivery Date]]-Table1[[#This Row],[Order Date]])</f>
        <v>8</v>
      </c>
      <c r="T92" t="str">
        <f>TEXT(Table1[[#This Row],[Order Date]],"DDDD")</f>
        <v>Sunday</v>
      </c>
    </row>
    <row r="93" spans="1:20" x14ac:dyDescent="0.3">
      <c r="A93" s="2" t="s">
        <v>327</v>
      </c>
      <c r="B93" s="10">
        <v>45804</v>
      </c>
      <c r="C93" s="10">
        <v>45810</v>
      </c>
      <c r="D93" s="2" t="s">
        <v>222</v>
      </c>
      <c r="E93" s="2" t="s">
        <v>231</v>
      </c>
      <c r="F93" s="2" t="s">
        <v>224</v>
      </c>
      <c r="G93" s="2" t="s">
        <v>192</v>
      </c>
      <c r="H93" s="2" t="s">
        <v>234</v>
      </c>
      <c r="I93" s="2">
        <v>8</v>
      </c>
      <c r="J93" s="11">
        <v>599</v>
      </c>
      <c r="K93" s="12">
        <v>0</v>
      </c>
      <c r="L93" s="2" t="s">
        <v>194</v>
      </c>
      <c r="M93" s="2" t="s">
        <v>195</v>
      </c>
      <c r="N93">
        <f>Table1[[#This Row],[Quantity]]*Table1[[#This Row],[Unit Price (₹)]]*(1-Table1[[#This Row],[Discount %]])</f>
        <v>4792</v>
      </c>
      <c r="O93" t="str">
        <f>TEXT(Table1[[#This Row],[Order Date]],"mmmm")</f>
        <v>May</v>
      </c>
      <c r="P93" t="str">
        <f>IF(Table1[[#This Row],[Revenue (₹)  ← add]]&gt;=15000,"High Value",IF(Table1[[#This Row],[Revenue (₹)  ← add]]&gt;=5000,"Medium","Low"))</f>
        <v>Low</v>
      </c>
      <c r="Q93">
        <f>VLOOKUP(Table1[[#This Row],[Product]],Table2[],4,FALSE)</f>
        <v>320</v>
      </c>
      <c r="R93">
        <f>Table1[[#This Row],[Revenue (₹)  ← add]]-Table1[[#This Row],[Cost Price  ← add]]</f>
        <v>4472</v>
      </c>
      <c r="S93">
        <f>IF(C93="", "",Table1[[#This Row],[Delivery Date]]-Table1[[#This Row],[Order Date]])</f>
        <v>6</v>
      </c>
      <c r="T93" t="str">
        <f>TEXT(Table1[[#This Row],[Order Date]],"DDDD")</f>
        <v>Tuesday</v>
      </c>
    </row>
    <row r="94" spans="1:20" x14ac:dyDescent="0.3">
      <c r="A94" s="2" t="s">
        <v>328</v>
      </c>
      <c r="B94" s="10">
        <v>45807</v>
      </c>
      <c r="C94" s="10">
        <v>45810</v>
      </c>
      <c r="D94" s="2" t="s">
        <v>222</v>
      </c>
      <c r="E94" s="2" t="s">
        <v>231</v>
      </c>
      <c r="F94" s="2" t="s">
        <v>249</v>
      </c>
      <c r="G94" s="2" t="s">
        <v>192</v>
      </c>
      <c r="H94" s="2" t="s">
        <v>193</v>
      </c>
      <c r="I94" s="2">
        <v>16</v>
      </c>
      <c r="J94" s="11">
        <v>249</v>
      </c>
      <c r="K94" s="12">
        <v>0.15</v>
      </c>
      <c r="L94" s="2" t="s">
        <v>203</v>
      </c>
      <c r="M94" s="2" t="s">
        <v>195</v>
      </c>
      <c r="N94">
        <f>Table1[[#This Row],[Quantity]]*Table1[[#This Row],[Unit Price (₹)]]*(1-Table1[[#This Row],[Discount %]])</f>
        <v>3386.4</v>
      </c>
      <c r="O94" t="str">
        <f>TEXT(Table1[[#This Row],[Order Date]],"mmmm")</f>
        <v>May</v>
      </c>
      <c r="P94" t="str">
        <f>IF(Table1[[#This Row],[Revenue (₹)  ← add]]&gt;=15000,"High Value",IF(Table1[[#This Row],[Revenue (₹)  ← add]]&gt;=5000,"Medium","Low"))</f>
        <v>Low</v>
      </c>
      <c r="Q94">
        <f>VLOOKUP(Table1[[#This Row],[Product]],Table2[],4,FALSE)</f>
        <v>120</v>
      </c>
      <c r="R94">
        <f>Table1[[#This Row],[Revenue (₹)  ← add]]-Table1[[#This Row],[Cost Price  ← add]]</f>
        <v>3266.4</v>
      </c>
      <c r="S94">
        <f>IF(C94="", "",Table1[[#This Row],[Delivery Date]]-Table1[[#This Row],[Order Date]])</f>
        <v>3</v>
      </c>
      <c r="T94" t="str">
        <f>TEXT(Table1[[#This Row],[Order Date]],"DDDD")</f>
        <v>Friday</v>
      </c>
    </row>
    <row r="95" spans="1:20" x14ac:dyDescent="0.3">
      <c r="A95" s="2" t="s">
        <v>329</v>
      </c>
      <c r="B95" s="10">
        <v>45808</v>
      </c>
      <c r="C95" s="10">
        <v>45817</v>
      </c>
      <c r="D95" s="2" t="s">
        <v>222</v>
      </c>
      <c r="E95" s="2" t="s">
        <v>259</v>
      </c>
      <c r="F95" s="2" t="s">
        <v>249</v>
      </c>
      <c r="G95" s="2" t="s">
        <v>198</v>
      </c>
      <c r="H95" s="2" t="s">
        <v>199</v>
      </c>
      <c r="I95" s="2">
        <v>3</v>
      </c>
      <c r="J95" s="11">
        <v>2999</v>
      </c>
      <c r="K95" s="12">
        <v>0.05</v>
      </c>
      <c r="L95" s="2" t="s">
        <v>203</v>
      </c>
      <c r="M95" s="2" t="s">
        <v>195</v>
      </c>
      <c r="N95">
        <f>Table1[[#This Row],[Quantity]]*Table1[[#This Row],[Unit Price (₹)]]*(1-Table1[[#This Row],[Discount %]])</f>
        <v>8547.15</v>
      </c>
      <c r="O95" t="str">
        <f>TEXT(Table1[[#This Row],[Order Date]],"mmmm")</f>
        <v>May</v>
      </c>
      <c r="P95" t="str">
        <f>IF(Table1[[#This Row],[Revenue (₹)  ← add]]&gt;=15000,"High Value",IF(Table1[[#This Row],[Revenue (₹)  ← add]]&gt;=5000,"Medium","Low"))</f>
        <v>Medium</v>
      </c>
      <c r="Q95">
        <f>VLOOKUP(Table1[[#This Row],[Product]],Table2[],4,FALSE)</f>
        <v>1700</v>
      </c>
      <c r="R95">
        <f>Table1[[#This Row],[Revenue (₹)  ← add]]-Table1[[#This Row],[Cost Price  ← add]]</f>
        <v>6847.15</v>
      </c>
      <c r="S95">
        <f>IF(C95="", "",Table1[[#This Row],[Delivery Date]]-Table1[[#This Row],[Order Date]])</f>
        <v>9</v>
      </c>
      <c r="T95" t="str">
        <f>TEXT(Table1[[#This Row],[Order Date]],"DDDD")</f>
        <v>Saturday</v>
      </c>
    </row>
    <row r="96" spans="1:20" x14ac:dyDescent="0.3">
      <c r="A96" s="2" t="s">
        <v>330</v>
      </c>
      <c r="B96" s="10">
        <v>45810</v>
      </c>
      <c r="C96" s="10">
        <v>45813</v>
      </c>
      <c r="D96" s="2" t="s">
        <v>205</v>
      </c>
      <c r="E96" s="2" t="s">
        <v>206</v>
      </c>
      <c r="F96" s="2" t="s">
        <v>211</v>
      </c>
      <c r="G96" s="2" t="s">
        <v>217</v>
      </c>
      <c r="H96" s="2" t="s">
        <v>228</v>
      </c>
      <c r="I96" s="2">
        <v>2</v>
      </c>
      <c r="J96" s="11">
        <v>799</v>
      </c>
      <c r="K96" s="12">
        <v>0</v>
      </c>
      <c r="L96" s="2" t="s">
        <v>194</v>
      </c>
      <c r="M96" s="2" t="s">
        <v>195</v>
      </c>
      <c r="N96">
        <f>Table1[[#This Row],[Quantity]]*Table1[[#This Row],[Unit Price (₹)]]*(1-Table1[[#This Row],[Discount %]])</f>
        <v>1598</v>
      </c>
      <c r="O96" t="str">
        <f>TEXT(Table1[[#This Row],[Order Date]],"mmmm")</f>
        <v>June</v>
      </c>
      <c r="P96" t="str">
        <f>IF(Table1[[#This Row],[Revenue (₹)  ← add]]&gt;=15000,"High Value",IF(Table1[[#This Row],[Revenue (₹)  ← add]]&gt;=5000,"Medium","Low"))</f>
        <v>Low</v>
      </c>
      <c r="Q96">
        <f>VLOOKUP(Table1[[#This Row],[Product]],Table2[],4,FALSE)</f>
        <v>450</v>
      </c>
      <c r="R96">
        <f>Table1[[#This Row],[Revenue (₹)  ← add]]-Table1[[#This Row],[Cost Price  ← add]]</f>
        <v>1148</v>
      </c>
      <c r="S96">
        <f>IF(C96="", "",Table1[[#This Row],[Delivery Date]]-Table1[[#This Row],[Order Date]])</f>
        <v>3</v>
      </c>
      <c r="T96" t="str">
        <f>TEXT(Table1[[#This Row],[Order Date]],"DDDD")</f>
        <v>Monday</v>
      </c>
    </row>
    <row r="97" spans="1:20" x14ac:dyDescent="0.3">
      <c r="A97" s="2" t="s">
        <v>331</v>
      </c>
      <c r="B97" s="10">
        <v>45810</v>
      </c>
      <c r="C97" s="10">
        <v>45817</v>
      </c>
      <c r="D97" s="2" t="s">
        <v>205</v>
      </c>
      <c r="E97" s="2" t="s">
        <v>210</v>
      </c>
      <c r="F97" s="2" t="s">
        <v>211</v>
      </c>
      <c r="G97" s="2" t="s">
        <v>201</v>
      </c>
      <c r="H97" s="2" t="s">
        <v>314</v>
      </c>
      <c r="I97" s="2">
        <v>2</v>
      </c>
      <c r="J97" s="11">
        <v>6999</v>
      </c>
      <c r="K97" s="12">
        <v>0.2</v>
      </c>
      <c r="L97" s="2" t="s">
        <v>229</v>
      </c>
      <c r="M97" s="2" t="s">
        <v>195</v>
      </c>
      <c r="N97">
        <f>Table1[[#This Row],[Quantity]]*Table1[[#This Row],[Unit Price (₹)]]*(1-Table1[[#This Row],[Discount %]])</f>
        <v>11198.400000000001</v>
      </c>
      <c r="O97" t="str">
        <f>TEXT(Table1[[#This Row],[Order Date]],"mmmm")</f>
        <v>June</v>
      </c>
      <c r="P97" t="str">
        <f>IF(Table1[[#This Row],[Revenue (₹)  ← add]]&gt;=15000,"High Value",IF(Table1[[#This Row],[Revenue (₹)  ← add]]&gt;=5000,"Medium","Low"))</f>
        <v>Medium</v>
      </c>
      <c r="Q97">
        <f>VLOOKUP(Table1[[#This Row],[Product]],Table2[],4,FALSE)</f>
        <v>4200</v>
      </c>
      <c r="R97">
        <f>Table1[[#This Row],[Revenue (₹)  ← add]]-Table1[[#This Row],[Cost Price  ← add]]</f>
        <v>6998.4000000000015</v>
      </c>
      <c r="S97">
        <f>IF(C97="", "",Table1[[#This Row],[Delivery Date]]-Table1[[#This Row],[Order Date]])</f>
        <v>7</v>
      </c>
      <c r="T97" t="str">
        <f>TEXT(Table1[[#This Row],[Order Date]],"DDDD")</f>
        <v>Monday</v>
      </c>
    </row>
    <row r="98" spans="1:20" x14ac:dyDescent="0.3">
      <c r="A98" s="2" t="s">
        <v>332</v>
      </c>
      <c r="B98" s="10">
        <v>45812</v>
      </c>
      <c r="C98" s="10">
        <v>45817</v>
      </c>
      <c r="D98" s="2" t="s">
        <v>205</v>
      </c>
      <c r="E98" s="2" t="s">
        <v>210</v>
      </c>
      <c r="F98" s="2" t="s">
        <v>207</v>
      </c>
      <c r="G98" s="2" t="s">
        <v>198</v>
      </c>
      <c r="H98" s="2" t="s">
        <v>199</v>
      </c>
      <c r="I98" s="2">
        <v>4</v>
      </c>
      <c r="J98" s="11">
        <v>2999</v>
      </c>
      <c r="K98" s="12">
        <v>0</v>
      </c>
      <c r="L98" s="2" t="s">
        <v>229</v>
      </c>
      <c r="M98" s="2" t="s">
        <v>195</v>
      </c>
      <c r="N98">
        <f>Table1[[#This Row],[Quantity]]*Table1[[#This Row],[Unit Price (₹)]]*(1-Table1[[#This Row],[Discount %]])</f>
        <v>11996</v>
      </c>
      <c r="O98" t="str">
        <f>TEXT(Table1[[#This Row],[Order Date]],"mmmm")</f>
        <v>June</v>
      </c>
      <c r="P98" t="str">
        <f>IF(Table1[[#This Row],[Revenue (₹)  ← add]]&gt;=15000,"High Value",IF(Table1[[#This Row],[Revenue (₹)  ← add]]&gt;=5000,"Medium","Low"))</f>
        <v>Medium</v>
      </c>
      <c r="Q98">
        <f>VLOOKUP(Table1[[#This Row],[Product]],Table2[],4,FALSE)</f>
        <v>1700</v>
      </c>
      <c r="R98">
        <f>Table1[[#This Row],[Revenue (₹)  ← add]]-Table1[[#This Row],[Cost Price  ← add]]</f>
        <v>10296</v>
      </c>
      <c r="S98">
        <f>IF(C98="", "",Table1[[#This Row],[Delivery Date]]-Table1[[#This Row],[Order Date]])</f>
        <v>5</v>
      </c>
      <c r="T98" t="str">
        <f>TEXT(Table1[[#This Row],[Order Date]],"DDDD")</f>
        <v>Wednesday</v>
      </c>
    </row>
    <row r="99" spans="1:20" x14ac:dyDescent="0.3">
      <c r="A99" s="2" t="s">
        <v>333</v>
      </c>
      <c r="B99" s="10">
        <v>45813</v>
      </c>
      <c r="C99" s="10">
        <v>45822</v>
      </c>
      <c r="D99" s="2" t="s">
        <v>205</v>
      </c>
      <c r="E99" s="2" t="s">
        <v>210</v>
      </c>
      <c r="F99" s="2" t="s">
        <v>207</v>
      </c>
      <c r="G99" s="2" t="s">
        <v>217</v>
      </c>
      <c r="H99" s="2" t="s">
        <v>255</v>
      </c>
      <c r="I99" s="2">
        <v>5</v>
      </c>
      <c r="J99" s="11">
        <v>1999</v>
      </c>
      <c r="K99" s="12">
        <v>0.1</v>
      </c>
      <c r="L99" s="2" t="s">
        <v>194</v>
      </c>
      <c r="M99" s="2" t="s">
        <v>219</v>
      </c>
      <c r="N99">
        <f>Table1[[#This Row],[Quantity]]*Table1[[#This Row],[Unit Price (₹)]]*(1-Table1[[#This Row],[Discount %]])</f>
        <v>8995.5</v>
      </c>
      <c r="O99" t="str">
        <f>TEXT(Table1[[#This Row],[Order Date]],"mmmm")</f>
        <v>June</v>
      </c>
      <c r="P99" t="str">
        <f>IF(Table1[[#This Row],[Revenue (₹)  ← add]]&gt;=15000,"High Value",IF(Table1[[#This Row],[Revenue (₹)  ← add]]&gt;=5000,"Medium","Low"))</f>
        <v>Medium</v>
      </c>
      <c r="Q99">
        <f>VLOOKUP(Table1[[#This Row],[Product]],Table2[],4,FALSE)</f>
        <v>1100</v>
      </c>
      <c r="R99">
        <f>Table1[[#This Row],[Revenue (₹)  ← add]]-Table1[[#This Row],[Cost Price  ← add]]</f>
        <v>7895.5</v>
      </c>
      <c r="S99">
        <f>IF(C99="", "",Table1[[#This Row],[Delivery Date]]-Table1[[#This Row],[Order Date]])</f>
        <v>9</v>
      </c>
      <c r="T99" t="str">
        <f>TEXT(Table1[[#This Row],[Order Date]],"DDDD")</f>
        <v>Thursday</v>
      </c>
    </row>
    <row r="100" spans="1:20" x14ac:dyDescent="0.3">
      <c r="A100" s="2" t="s">
        <v>334</v>
      </c>
      <c r="B100" s="10">
        <v>45813</v>
      </c>
      <c r="C100" s="10">
        <v>45818</v>
      </c>
      <c r="D100" s="2" t="s">
        <v>189</v>
      </c>
      <c r="E100" s="2" t="s">
        <v>197</v>
      </c>
      <c r="F100" s="2" t="s">
        <v>213</v>
      </c>
      <c r="G100" s="2" t="s">
        <v>198</v>
      </c>
      <c r="H100" s="2" t="s">
        <v>208</v>
      </c>
      <c r="I100" s="2">
        <v>2</v>
      </c>
      <c r="J100" s="11">
        <v>599</v>
      </c>
      <c r="K100" s="12">
        <v>0.2</v>
      </c>
      <c r="L100" s="2" t="s">
        <v>194</v>
      </c>
      <c r="M100" s="2" t="s">
        <v>195</v>
      </c>
      <c r="N100">
        <f>Table1[[#This Row],[Quantity]]*Table1[[#This Row],[Unit Price (₹)]]*(1-Table1[[#This Row],[Discount %]])</f>
        <v>958.40000000000009</v>
      </c>
      <c r="O100" t="str">
        <f>TEXT(Table1[[#This Row],[Order Date]],"mmmm")</f>
        <v>June</v>
      </c>
      <c r="P100" t="str">
        <f>IF(Table1[[#This Row],[Revenue (₹)  ← add]]&gt;=15000,"High Value",IF(Table1[[#This Row],[Revenue (₹)  ← add]]&gt;=5000,"Medium","Low"))</f>
        <v>Low</v>
      </c>
      <c r="Q100">
        <f>VLOOKUP(Table1[[#This Row],[Product]],Table2[],4,FALSE)</f>
        <v>300</v>
      </c>
      <c r="R100">
        <f>Table1[[#This Row],[Revenue (₹)  ← add]]-Table1[[#This Row],[Cost Price  ← add]]</f>
        <v>658.40000000000009</v>
      </c>
      <c r="S100">
        <f>IF(C100="", "",Table1[[#This Row],[Delivery Date]]-Table1[[#This Row],[Order Date]])</f>
        <v>5</v>
      </c>
      <c r="T100" t="str">
        <f>TEXT(Table1[[#This Row],[Order Date]],"DDDD")</f>
        <v>Thursday</v>
      </c>
    </row>
    <row r="101" spans="1:20" x14ac:dyDescent="0.3">
      <c r="A101" s="2" t="s">
        <v>335</v>
      </c>
      <c r="B101" s="10">
        <v>45814</v>
      </c>
      <c r="C101" s="10">
        <v>45819</v>
      </c>
      <c r="D101" s="2" t="s">
        <v>238</v>
      </c>
      <c r="E101" s="2" t="s">
        <v>254</v>
      </c>
      <c r="F101" s="2" t="s">
        <v>244</v>
      </c>
      <c r="G101" s="2" t="s">
        <v>201</v>
      </c>
      <c r="H101" s="2" t="s">
        <v>202</v>
      </c>
      <c r="I101" s="2">
        <v>2</v>
      </c>
      <c r="J101" s="11">
        <v>8499</v>
      </c>
      <c r="K101" s="12">
        <v>0</v>
      </c>
      <c r="L101" s="2" t="s">
        <v>229</v>
      </c>
      <c r="M101" s="2" t="s">
        <v>195</v>
      </c>
      <c r="N101">
        <f>Table1[[#This Row],[Quantity]]*Table1[[#This Row],[Unit Price (₹)]]*(1-Table1[[#This Row],[Discount %]])</f>
        <v>16998</v>
      </c>
      <c r="O101" t="str">
        <f>TEXT(Table1[[#This Row],[Order Date]],"mmmm")</f>
        <v>June</v>
      </c>
      <c r="P101" t="str">
        <f>IF(Table1[[#This Row],[Revenue (₹)  ← add]]&gt;=15000,"High Value",IF(Table1[[#This Row],[Revenue (₹)  ← add]]&gt;=5000,"Medium","Low"))</f>
        <v>High Value</v>
      </c>
      <c r="Q101">
        <f>VLOOKUP(Table1[[#This Row],[Product]],Table2[],4,FALSE)</f>
        <v>5200</v>
      </c>
      <c r="R101">
        <f>Table1[[#This Row],[Revenue (₹)  ← add]]-Table1[[#This Row],[Cost Price  ← add]]</f>
        <v>11798</v>
      </c>
      <c r="S101">
        <f>IF(C101="", "",Table1[[#This Row],[Delivery Date]]-Table1[[#This Row],[Order Date]])</f>
        <v>5</v>
      </c>
      <c r="T101" t="str">
        <f>TEXT(Table1[[#This Row],[Order Date]],"DDDD")</f>
        <v>Friday</v>
      </c>
    </row>
    <row r="102" spans="1:20" x14ac:dyDescent="0.3">
      <c r="A102" s="2" t="s">
        <v>336</v>
      </c>
      <c r="B102" s="10">
        <v>45816</v>
      </c>
      <c r="C102" s="10">
        <v>45821</v>
      </c>
      <c r="D102" s="2" t="s">
        <v>189</v>
      </c>
      <c r="E102" s="2" t="s">
        <v>190</v>
      </c>
      <c r="F102" s="2" t="s">
        <v>213</v>
      </c>
      <c r="G102" s="2" t="s">
        <v>217</v>
      </c>
      <c r="H102" s="2" t="s">
        <v>218</v>
      </c>
      <c r="I102" s="2">
        <v>3</v>
      </c>
      <c r="J102" s="11">
        <v>1499</v>
      </c>
      <c r="K102" s="12">
        <v>0.05</v>
      </c>
      <c r="L102" s="2" t="s">
        <v>203</v>
      </c>
      <c r="M102" s="2" t="s">
        <v>195</v>
      </c>
      <c r="N102">
        <f>Table1[[#This Row],[Quantity]]*Table1[[#This Row],[Unit Price (₹)]]*(1-Table1[[#This Row],[Discount %]])</f>
        <v>4272.1499999999996</v>
      </c>
      <c r="O102" t="str">
        <f>TEXT(Table1[[#This Row],[Order Date]],"mmmm")</f>
        <v>June</v>
      </c>
      <c r="P102" t="str">
        <f>IF(Table1[[#This Row],[Revenue (₹)  ← add]]&gt;=15000,"High Value",IF(Table1[[#This Row],[Revenue (₹)  ← add]]&gt;=5000,"Medium","Low"))</f>
        <v>Low</v>
      </c>
      <c r="Q102">
        <f>VLOOKUP(Table1[[#This Row],[Product]],Table2[],4,FALSE)</f>
        <v>850</v>
      </c>
      <c r="R102">
        <f>Table1[[#This Row],[Revenue (₹)  ← add]]-Table1[[#This Row],[Cost Price  ← add]]</f>
        <v>3422.1499999999996</v>
      </c>
      <c r="S102">
        <f>IF(C102="", "",Table1[[#This Row],[Delivery Date]]-Table1[[#This Row],[Order Date]])</f>
        <v>5</v>
      </c>
      <c r="T102" t="str">
        <f>TEXT(Table1[[#This Row],[Order Date]],"DDDD")</f>
        <v>Sunday</v>
      </c>
    </row>
    <row r="103" spans="1:20" x14ac:dyDescent="0.3">
      <c r="A103" s="2" t="s">
        <v>337</v>
      </c>
      <c r="B103" s="10">
        <v>45817</v>
      </c>
      <c r="C103" s="10">
        <v>45823</v>
      </c>
      <c r="D103" s="2" t="s">
        <v>205</v>
      </c>
      <c r="E103" s="2" t="s">
        <v>206</v>
      </c>
      <c r="F103" s="2" t="s">
        <v>211</v>
      </c>
      <c r="G103" s="2" t="s">
        <v>201</v>
      </c>
      <c r="H103" s="2" t="s">
        <v>314</v>
      </c>
      <c r="I103" s="2">
        <v>2</v>
      </c>
      <c r="J103" s="11">
        <v>6999</v>
      </c>
      <c r="K103" s="12">
        <v>0.2</v>
      </c>
      <c r="L103" s="2" t="s">
        <v>229</v>
      </c>
      <c r="M103" s="2" t="s">
        <v>195</v>
      </c>
      <c r="N103">
        <f>Table1[[#This Row],[Quantity]]*Table1[[#This Row],[Unit Price (₹)]]*(1-Table1[[#This Row],[Discount %]])</f>
        <v>11198.400000000001</v>
      </c>
      <c r="O103" t="str">
        <f>TEXT(Table1[[#This Row],[Order Date]],"mmmm")</f>
        <v>June</v>
      </c>
      <c r="P103" t="str">
        <f>IF(Table1[[#This Row],[Revenue (₹)  ← add]]&gt;=15000,"High Value",IF(Table1[[#This Row],[Revenue (₹)  ← add]]&gt;=5000,"Medium","Low"))</f>
        <v>Medium</v>
      </c>
      <c r="Q103">
        <f>VLOOKUP(Table1[[#This Row],[Product]],Table2[],4,FALSE)</f>
        <v>4200</v>
      </c>
      <c r="R103">
        <f>Table1[[#This Row],[Revenue (₹)  ← add]]-Table1[[#This Row],[Cost Price  ← add]]</f>
        <v>6998.4000000000015</v>
      </c>
      <c r="S103">
        <f>IF(C103="", "",Table1[[#This Row],[Delivery Date]]-Table1[[#This Row],[Order Date]])</f>
        <v>6</v>
      </c>
      <c r="T103" t="str">
        <f>TEXT(Table1[[#This Row],[Order Date]],"DDDD")</f>
        <v>Monday</v>
      </c>
    </row>
    <row r="104" spans="1:20" x14ac:dyDescent="0.3">
      <c r="A104" s="2" t="s">
        <v>338</v>
      </c>
      <c r="B104" s="10">
        <v>45820</v>
      </c>
      <c r="C104" s="10">
        <v>45824</v>
      </c>
      <c r="D104" s="2" t="s">
        <v>189</v>
      </c>
      <c r="E104" s="2" t="s">
        <v>190</v>
      </c>
      <c r="F104" s="2" t="s">
        <v>191</v>
      </c>
      <c r="G104" s="2" t="s">
        <v>198</v>
      </c>
      <c r="H104" s="2" t="s">
        <v>208</v>
      </c>
      <c r="I104" s="2">
        <v>5</v>
      </c>
      <c r="J104" s="11">
        <v>599</v>
      </c>
      <c r="K104" s="12">
        <v>0.1</v>
      </c>
      <c r="L104" s="2" t="s">
        <v>225</v>
      </c>
      <c r="M104" s="2" t="s">
        <v>195</v>
      </c>
      <c r="N104">
        <f>Table1[[#This Row],[Quantity]]*Table1[[#This Row],[Unit Price (₹)]]*(1-Table1[[#This Row],[Discount %]])</f>
        <v>2695.5</v>
      </c>
      <c r="O104" t="str">
        <f>TEXT(Table1[[#This Row],[Order Date]],"mmmm")</f>
        <v>June</v>
      </c>
      <c r="P104" t="str">
        <f>IF(Table1[[#This Row],[Revenue (₹)  ← add]]&gt;=15000,"High Value",IF(Table1[[#This Row],[Revenue (₹)  ← add]]&gt;=5000,"Medium","Low"))</f>
        <v>Low</v>
      </c>
      <c r="Q104">
        <f>VLOOKUP(Table1[[#This Row],[Product]],Table2[],4,FALSE)</f>
        <v>300</v>
      </c>
      <c r="R104">
        <f>Table1[[#This Row],[Revenue (₹)  ← add]]-Table1[[#This Row],[Cost Price  ← add]]</f>
        <v>2395.5</v>
      </c>
      <c r="S104">
        <f>IF(C104="", "",Table1[[#This Row],[Delivery Date]]-Table1[[#This Row],[Order Date]])</f>
        <v>4</v>
      </c>
      <c r="T104" t="str">
        <f>TEXT(Table1[[#This Row],[Order Date]],"DDDD")</f>
        <v>Thursday</v>
      </c>
    </row>
    <row r="105" spans="1:20" x14ac:dyDescent="0.3">
      <c r="A105" s="2" t="s">
        <v>339</v>
      </c>
      <c r="B105" s="10">
        <v>45822</v>
      </c>
      <c r="C105" s="10"/>
      <c r="D105" s="2" t="s">
        <v>238</v>
      </c>
      <c r="E105" s="2" t="s">
        <v>239</v>
      </c>
      <c r="F105" s="2" t="s">
        <v>240</v>
      </c>
      <c r="G105" s="2" t="s">
        <v>198</v>
      </c>
      <c r="H105" s="2" t="s">
        <v>199</v>
      </c>
      <c r="I105" s="2">
        <v>2</v>
      </c>
      <c r="J105" s="11">
        <v>2999</v>
      </c>
      <c r="K105" s="12">
        <v>0.05</v>
      </c>
      <c r="L105" s="2" t="s">
        <v>225</v>
      </c>
      <c r="M105" s="2" t="s">
        <v>215</v>
      </c>
      <c r="N105">
        <f>Table1[[#This Row],[Quantity]]*Table1[[#This Row],[Unit Price (₹)]]*(1-Table1[[#This Row],[Discount %]])</f>
        <v>5698.0999999999995</v>
      </c>
      <c r="O105" t="str">
        <f>TEXT(Table1[[#This Row],[Order Date]],"mmmm")</f>
        <v>June</v>
      </c>
      <c r="P105" t="str">
        <f>IF(Table1[[#This Row],[Revenue (₹)  ← add]]&gt;=15000,"High Value",IF(Table1[[#This Row],[Revenue (₹)  ← add]]&gt;=5000,"Medium","Low"))</f>
        <v>Medium</v>
      </c>
      <c r="Q105">
        <f>VLOOKUP(Table1[[#This Row],[Product]],Table2[],4,FALSE)</f>
        <v>1700</v>
      </c>
      <c r="R105">
        <f>Table1[[#This Row],[Revenue (₹)  ← add]]-Table1[[#This Row],[Cost Price  ← add]]</f>
        <v>3998.0999999999995</v>
      </c>
      <c r="S105" t="str">
        <f>IF(C105="", "",Table1[[#This Row],[Delivery Date]]-Table1[[#This Row],[Order Date]])</f>
        <v/>
      </c>
      <c r="T105" t="str">
        <f>TEXT(Table1[[#This Row],[Order Date]],"DDDD")</f>
        <v>Saturday</v>
      </c>
    </row>
    <row r="106" spans="1:20" x14ac:dyDescent="0.3">
      <c r="A106" s="2" t="s">
        <v>340</v>
      </c>
      <c r="B106" s="10">
        <v>45823</v>
      </c>
      <c r="C106" s="10">
        <v>45828</v>
      </c>
      <c r="D106" s="2" t="s">
        <v>222</v>
      </c>
      <c r="E106" s="2" t="s">
        <v>231</v>
      </c>
      <c r="F106" s="2" t="s">
        <v>249</v>
      </c>
      <c r="G106" s="2" t="s">
        <v>217</v>
      </c>
      <c r="H106" s="2" t="s">
        <v>228</v>
      </c>
      <c r="I106" s="2">
        <v>4</v>
      </c>
      <c r="J106" s="11">
        <v>799</v>
      </c>
      <c r="K106" s="12">
        <v>0.1</v>
      </c>
      <c r="L106" s="2" t="s">
        <v>194</v>
      </c>
      <c r="M106" s="2" t="s">
        <v>195</v>
      </c>
      <c r="N106">
        <f>Table1[[#This Row],[Quantity]]*Table1[[#This Row],[Unit Price (₹)]]*(1-Table1[[#This Row],[Discount %]])</f>
        <v>2876.4</v>
      </c>
      <c r="O106" t="str">
        <f>TEXT(Table1[[#This Row],[Order Date]],"mmmm")</f>
        <v>June</v>
      </c>
      <c r="P106" t="str">
        <f>IF(Table1[[#This Row],[Revenue (₹)  ← add]]&gt;=15000,"High Value",IF(Table1[[#This Row],[Revenue (₹)  ← add]]&gt;=5000,"Medium","Low"))</f>
        <v>Low</v>
      </c>
      <c r="Q106">
        <f>VLOOKUP(Table1[[#This Row],[Product]],Table2[],4,FALSE)</f>
        <v>450</v>
      </c>
      <c r="R106">
        <f>Table1[[#This Row],[Revenue (₹)  ← add]]-Table1[[#This Row],[Cost Price  ← add]]</f>
        <v>2426.4</v>
      </c>
      <c r="S106">
        <f>IF(C106="", "",Table1[[#This Row],[Delivery Date]]-Table1[[#This Row],[Order Date]])</f>
        <v>5</v>
      </c>
      <c r="T106" t="str">
        <f>TEXT(Table1[[#This Row],[Order Date]],"DDDD")</f>
        <v>Sunday</v>
      </c>
    </row>
    <row r="107" spans="1:20" x14ac:dyDescent="0.3">
      <c r="A107" s="2" t="s">
        <v>341</v>
      </c>
      <c r="B107" s="10">
        <v>45823</v>
      </c>
      <c r="C107" s="10">
        <v>45832</v>
      </c>
      <c r="D107" s="2" t="s">
        <v>205</v>
      </c>
      <c r="E107" s="2" t="s">
        <v>227</v>
      </c>
      <c r="F107" s="2" t="s">
        <v>207</v>
      </c>
      <c r="G107" s="2" t="s">
        <v>217</v>
      </c>
      <c r="H107" s="2" t="s">
        <v>228</v>
      </c>
      <c r="I107" s="2">
        <v>2</v>
      </c>
      <c r="J107" s="11">
        <v>799</v>
      </c>
      <c r="K107" s="12">
        <v>0.2</v>
      </c>
      <c r="L107" s="2" t="s">
        <v>229</v>
      </c>
      <c r="M107" s="2" t="s">
        <v>195</v>
      </c>
      <c r="N107">
        <f>Table1[[#This Row],[Quantity]]*Table1[[#This Row],[Unit Price (₹)]]*(1-Table1[[#This Row],[Discount %]])</f>
        <v>1278.4000000000001</v>
      </c>
      <c r="O107" t="str">
        <f>TEXT(Table1[[#This Row],[Order Date]],"mmmm")</f>
        <v>June</v>
      </c>
      <c r="P107" t="str">
        <f>IF(Table1[[#This Row],[Revenue (₹)  ← add]]&gt;=15000,"High Value",IF(Table1[[#This Row],[Revenue (₹)  ← add]]&gt;=5000,"Medium","Low"))</f>
        <v>Low</v>
      </c>
      <c r="Q107">
        <f>VLOOKUP(Table1[[#This Row],[Product]],Table2[],4,FALSE)</f>
        <v>450</v>
      </c>
      <c r="R107">
        <f>Table1[[#This Row],[Revenue (₹)  ← add]]-Table1[[#This Row],[Cost Price  ← add]]</f>
        <v>828.40000000000009</v>
      </c>
      <c r="S107">
        <f>IF(C107="", "",Table1[[#This Row],[Delivery Date]]-Table1[[#This Row],[Order Date]])</f>
        <v>9</v>
      </c>
      <c r="T107" t="str">
        <f>TEXT(Table1[[#This Row],[Order Date]],"DDDD")</f>
        <v>Sunday</v>
      </c>
    </row>
    <row r="108" spans="1:20" x14ac:dyDescent="0.3">
      <c r="A108" s="2" t="s">
        <v>342</v>
      </c>
      <c r="B108" s="10">
        <v>45824</v>
      </c>
      <c r="C108" s="10">
        <v>45832</v>
      </c>
      <c r="D108" s="2" t="s">
        <v>205</v>
      </c>
      <c r="E108" s="2" t="s">
        <v>210</v>
      </c>
      <c r="F108" s="2" t="s">
        <v>211</v>
      </c>
      <c r="G108" s="2" t="s">
        <v>192</v>
      </c>
      <c r="H108" s="2" t="s">
        <v>234</v>
      </c>
      <c r="I108" s="2">
        <v>14</v>
      </c>
      <c r="J108" s="11">
        <v>599</v>
      </c>
      <c r="K108" s="12">
        <v>0</v>
      </c>
      <c r="L108" s="2" t="s">
        <v>194</v>
      </c>
      <c r="M108" s="2" t="s">
        <v>195</v>
      </c>
      <c r="N108">
        <f>Table1[[#This Row],[Quantity]]*Table1[[#This Row],[Unit Price (₹)]]*(1-Table1[[#This Row],[Discount %]])</f>
        <v>8386</v>
      </c>
      <c r="O108" t="str">
        <f>TEXT(Table1[[#This Row],[Order Date]],"mmmm")</f>
        <v>June</v>
      </c>
      <c r="P108" t="str">
        <f>IF(Table1[[#This Row],[Revenue (₹)  ← add]]&gt;=15000,"High Value",IF(Table1[[#This Row],[Revenue (₹)  ← add]]&gt;=5000,"Medium","Low"))</f>
        <v>Medium</v>
      </c>
      <c r="Q108">
        <f>VLOOKUP(Table1[[#This Row],[Product]],Table2[],4,FALSE)</f>
        <v>320</v>
      </c>
      <c r="R108">
        <f>Table1[[#This Row],[Revenue (₹)  ← add]]-Table1[[#This Row],[Cost Price  ← add]]</f>
        <v>8066</v>
      </c>
      <c r="S108">
        <f>IF(C108="", "",Table1[[#This Row],[Delivery Date]]-Table1[[#This Row],[Order Date]])</f>
        <v>8</v>
      </c>
      <c r="T108" t="str">
        <f>TEXT(Table1[[#This Row],[Order Date]],"DDDD")</f>
        <v>Monday</v>
      </c>
    </row>
    <row r="109" spans="1:20" x14ac:dyDescent="0.3">
      <c r="A109" s="2" t="s">
        <v>343</v>
      </c>
      <c r="B109" s="10">
        <v>45824</v>
      </c>
      <c r="C109" s="10">
        <v>45828</v>
      </c>
      <c r="D109" s="2" t="s">
        <v>238</v>
      </c>
      <c r="E109" s="2" t="s">
        <v>243</v>
      </c>
      <c r="F109" s="2" t="s">
        <v>240</v>
      </c>
      <c r="G109" s="2" t="s">
        <v>192</v>
      </c>
      <c r="H109" s="2" t="s">
        <v>247</v>
      </c>
      <c r="I109" s="2">
        <v>22</v>
      </c>
      <c r="J109" s="11">
        <v>349</v>
      </c>
      <c r="K109" s="12">
        <v>0.05</v>
      </c>
      <c r="L109" s="2" t="s">
        <v>229</v>
      </c>
      <c r="M109" s="2" t="s">
        <v>219</v>
      </c>
      <c r="N109">
        <f>Table1[[#This Row],[Quantity]]*Table1[[#This Row],[Unit Price (₹)]]*(1-Table1[[#This Row],[Discount %]])</f>
        <v>7294.0999999999995</v>
      </c>
      <c r="O109" t="str">
        <f>TEXT(Table1[[#This Row],[Order Date]],"mmmm")</f>
        <v>June</v>
      </c>
      <c r="P109" t="str">
        <f>IF(Table1[[#This Row],[Revenue (₹)  ← add]]&gt;=15000,"High Value",IF(Table1[[#This Row],[Revenue (₹)  ← add]]&gt;=5000,"Medium","Low"))</f>
        <v>Medium</v>
      </c>
      <c r="Q109">
        <f>VLOOKUP(Table1[[#This Row],[Product]],Table2[],4,FALSE)</f>
        <v>180</v>
      </c>
      <c r="R109">
        <f>Table1[[#This Row],[Revenue (₹)  ← add]]-Table1[[#This Row],[Cost Price  ← add]]</f>
        <v>7114.0999999999995</v>
      </c>
      <c r="S109">
        <f>IF(C109="", "",Table1[[#This Row],[Delivery Date]]-Table1[[#This Row],[Order Date]])</f>
        <v>4</v>
      </c>
      <c r="T109" t="str">
        <f>TEXT(Table1[[#This Row],[Order Date]],"DDDD")</f>
        <v>Monday</v>
      </c>
    </row>
    <row r="110" spans="1:20" x14ac:dyDescent="0.3">
      <c r="A110" s="2" t="s">
        <v>344</v>
      </c>
      <c r="B110" s="10">
        <v>45824</v>
      </c>
      <c r="C110" s="10">
        <v>45832</v>
      </c>
      <c r="D110" s="2" t="s">
        <v>189</v>
      </c>
      <c r="E110" s="2" t="s">
        <v>197</v>
      </c>
      <c r="F110" s="2" t="s">
        <v>191</v>
      </c>
      <c r="G110" s="2" t="s">
        <v>198</v>
      </c>
      <c r="H110" s="2" t="s">
        <v>208</v>
      </c>
      <c r="I110" s="2">
        <v>7</v>
      </c>
      <c r="J110" s="11">
        <v>599</v>
      </c>
      <c r="K110" s="12">
        <v>0.2</v>
      </c>
      <c r="L110" s="2" t="s">
        <v>203</v>
      </c>
      <c r="M110" s="2" t="s">
        <v>195</v>
      </c>
      <c r="N110">
        <f>Table1[[#This Row],[Quantity]]*Table1[[#This Row],[Unit Price (₹)]]*(1-Table1[[#This Row],[Discount %]])</f>
        <v>3354.4</v>
      </c>
      <c r="O110" t="str">
        <f>TEXT(Table1[[#This Row],[Order Date]],"mmmm")</f>
        <v>June</v>
      </c>
      <c r="P110" t="str">
        <f>IF(Table1[[#This Row],[Revenue (₹)  ← add]]&gt;=15000,"High Value",IF(Table1[[#This Row],[Revenue (₹)  ← add]]&gt;=5000,"Medium","Low"))</f>
        <v>Low</v>
      </c>
      <c r="Q110">
        <f>VLOOKUP(Table1[[#This Row],[Product]],Table2[],4,FALSE)</f>
        <v>300</v>
      </c>
      <c r="R110">
        <f>Table1[[#This Row],[Revenue (₹)  ← add]]-Table1[[#This Row],[Cost Price  ← add]]</f>
        <v>3054.4</v>
      </c>
      <c r="S110">
        <f>IF(C110="", "",Table1[[#This Row],[Delivery Date]]-Table1[[#This Row],[Order Date]])</f>
        <v>8</v>
      </c>
      <c r="T110" t="str">
        <f>TEXT(Table1[[#This Row],[Order Date]],"DDDD")</f>
        <v>Monday</v>
      </c>
    </row>
    <row r="111" spans="1:20" x14ac:dyDescent="0.3">
      <c r="A111" s="2" t="s">
        <v>345</v>
      </c>
      <c r="B111" s="10">
        <v>45827</v>
      </c>
      <c r="C111" s="10">
        <v>45829</v>
      </c>
      <c r="D111" s="2" t="s">
        <v>222</v>
      </c>
      <c r="E111" s="2" t="s">
        <v>259</v>
      </c>
      <c r="F111" s="2" t="s">
        <v>249</v>
      </c>
      <c r="G111" s="2" t="s">
        <v>198</v>
      </c>
      <c r="H111" s="2" t="s">
        <v>199</v>
      </c>
      <c r="I111" s="2">
        <v>1</v>
      </c>
      <c r="J111" s="11">
        <v>2999</v>
      </c>
      <c r="K111" s="12">
        <v>0.1</v>
      </c>
      <c r="L111" s="2" t="s">
        <v>203</v>
      </c>
      <c r="M111" s="2" t="s">
        <v>195</v>
      </c>
      <c r="N111">
        <f>Table1[[#This Row],[Quantity]]*Table1[[#This Row],[Unit Price (₹)]]*(1-Table1[[#This Row],[Discount %]])</f>
        <v>2699.1</v>
      </c>
      <c r="O111" t="str">
        <f>TEXT(Table1[[#This Row],[Order Date]],"mmmm")</f>
        <v>June</v>
      </c>
      <c r="P111" t="str">
        <f>IF(Table1[[#This Row],[Revenue (₹)  ← add]]&gt;=15000,"High Value",IF(Table1[[#This Row],[Revenue (₹)  ← add]]&gt;=5000,"Medium","Low"))</f>
        <v>Low</v>
      </c>
      <c r="Q111">
        <f>VLOOKUP(Table1[[#This Row],[Product]],Table2[],4,FALSE)</f>
        <v>1700</v>
      </c>
      <c r="R111">
        <f>Table1[[#This Row],[Revenue (₹)  ← add]]-Table1[[#This Row],[Cost Price  ← add]]</f>
        <v>999.09999999999991</v>
      </c>
      <c r="S111">
        <f>IF(C111="", "",Table1[[#This Row],[Delivery Date]]-Table1[[#This Row],[Order Date]])</f>
        <v>2</v>
      </c>
      <c r="T111" t="str">
        <f>TEXT(Table1[[#This Row],[Order Date]],"DDDD")</f>
        <v>Thursday</v>
      </c>
    </row>
    <row r="112" spans="1:20" x14ac:dyDescent="0.3">
      <c r="A112" s="2" t="s">
        <v>346</v>
      </c>
      <c r="B112" s="10">
        <v>45828</v>
      </c>
      <c r="C112" s="10">
        <v>45832</v>
      </c>
      <c r="D112" s="2" t="s">
        <v>222</v>
      </c>
      <c r="E112" s="2" t="s">
        <v>231</v>
      </c>
      <c r="F112" s="2" t="s">
        <v>249</v>
      </c>
      <c r="G112" s="2" t="s">
        <v>217</v>
      </c>
      <c r="H112" s="2" t="s">
        <v>236</v>
      </c>
      <c r="I112" s="2">
        <v>4</v>
      </c>
      <c r="J112" s="11">
        <v>2499</v>
      </c>
      <c r="K112" s="12">
        <v>0</v>
      </c>
      <c r="L112" s="2" t="s">
        <v>203</v>
      </c>
      <c r="M112" s="2" t="s">
        <v>195</v>
      </c>
      <c r="N112">
        <f>Table1[[#This Row],[Quantity]]*Table1[[#This Row],[Unit Price (₹)]]*(1-Table1[[#This Row],[Discount %]])</f>
        <v>9996</v>
      </c>
      <c r="O112" t="str">
        <f>TEXT(Table1[[#This Row],[Order Date]],"mmmm")</f>
        <v>June</v>
      </c>
      <c r="P112" t="str">
        <f>IF(Table1[[#This Row],[Revenue (₹)  ← add]]&gt;=15000,"High Value",IF(Table1[[#This Row],[Revenue (₹)  ← add]]&gt;=5000,"Medium","Low"))</f>
        <v>Medium</v>
      </c>
      <c r="Q112">
        <f>VLOOKUP(Table1[[#This Row],[Product]],Table2[],4,FALSE)</f>
        <v>1500</v>
      </c>
      <c r="R112">
        <f>Table1[[#This Row],[Revenue (₹)  ← add]]-Table1[[#This Row],[Cost Price  ← add]]</f>
        <v>8496</v>
      </c>
      <c r="S112">
        <f>IF(C112="", "",Table1[[#This Row],[Delivery Date]]-Table1[[#This Row],[Order Date]])</f>
        <v>4</v>
      </c>
      <c r="T112" t="str">
        <f>TEXT(Table1[[#This Row],[Order Date]],"DDDD")</f>
        <v>Friday</v>
      </c>
    </row>
    <row r="113" spans="1:20" x14ac:dyDescent="0.3">
      <c r="A113" s="2" t="s">
        <v>347</v>
      </c>
      <c r="B113" s="10">
        <v>45830</v>
      </c>
      <c r="C113" s="10">
        <v>45837</v>
      </c>
      <c r="D113" s="2" t="s">
        <v>222</v>
      </c>
      <c r="E113" s="2" t="s">
        <v>259</v>
      </c>
      <c r="F113" s="2" t="s">
        <v>224</v>
      </c>
      <c r="G113" s="2" t="s">
        <v>217</v>
      </c>
      <c r="H113" s="2" t="s">
        <v>228</v>
      </c>
      <c r="I113" s="2">
        <v>3</v>
      </c>
      <c r="J113" s="11">
        <v>799</v>
      </c>
      <c r="K113" s="12">
        <v>0.05</v>
      </c>
      <c r="L113" s="2" t="s">
        <v>225</v>
      </c>
      <c r="M113" s="2" t="s">
        <v>195</v>
      </c>
      <c r="N113">
        <f>Table1[[#This Row],[Quantity]]*Table1[[#This Row],[Unit Price (₹)]]*(1-Table1[[#This Row],[Discount %]])</f>
        <v>2277.15</v>
      </c>
      <c r="O113" t="str">
        <f>TEXT(Table1[[#This Row],[Order Date]],"mmmm")</f>
        <v>June</v>
      </c>
      <c r="P113" t="str">
        <f>IF(Table1[[#This Row],[Revenue (₹)  ← add]]&gt;=15000,"High Value",IF(Table1[[#This Row],[Revenue (₹)  ← add]]&gt;=5000,"Medium","Low"))</f>
        <v>Low</v>
      </c>
      <c r="Q113">
        <f>VLOOKUP(Table1[[#This Row],[Product]],Table2[],4,FALSE)</f>
        <v>450</v>
      </c>
      <c r="R113">
        <f>Table1[[#This Row],[Revenue (₹)  ← add]]-Table1[[#This Row],[Cost Price  ← add]]</f>
        <v>1827.15</v>
      </c>
      <c r="S113">
        <f>IF(C113="", "",Table1[[#This Row],[Delivery Date]]-Table1[[#This Row],[Order Date]])</f>
        <v>7</v>
      </c>
      <c r="T113" t="str">
        <f>TEXT(Table1[[#This Row],[Order Date]],"DDDD")</f>
        <v>Sunday</v>
      </c>
    </row>
    <row r="114" spans="1:20" x14ac:dyDescent="0.3">
      <c r="A114" s="2" t="s">
        <v>348</v>
      </c>
      <c r="B114" s="10">
        <v>45831</v>
      </c>
      <c r="C114" s="10">
        <v>45835</v>
      </c>
      <c r="D114" s="2" t="s">
        <v>238</v>
      </c>
      <c r="E114" s="2" t="s">
        <v>254</v>
      </c>
      <c r="F114" s="2" t="s">
        <v>244</v>
      </c>
      <c r="G114" s="2" t="s">
        <v>217</v>
      </c>
      <c r="H114" s="2" t="s">
        <v>218</v>
      </c>
      <c r="I114" s="2">
        <v>6</v>
      </c>
      <c r="J114" s="11">
        <v>1499</v>
      </c>
      <c r="K114" s="12">
        <v>0</v>
      </c>
      <c r="L114" s="2" t="s">
        <v>203</v>
      </c>
      <c r="M114" s="2" t="s">
        <v>195</v>
      </c>
      <c r="N114">
        <f>Table1[[#This Row],[Quantity]]*Table1[[#This Row],[Unit Price (₹)]]*(1-Table1[[#This Row],[Discount %]])</f>
        <v>8994</v>
      </c>
      <c r="O114" t="str">
        <f>TEXT(Table1[[#This Row],[Order Date]],"mmmm")</f>
        <v>June</v>
      </c>
      <c r="P114" t="str">
        <f>IF(Table1[[#This Row],[Revenue (₹)  ← add]]&gt;=15000,"High Value",IF(Table1[[#This Row],[Revenue (₹)  ← add]]&gt;=5000,"Medium","Low"))</f>
        <v>Medium</v>
      </c>
      <c r="Q114">
        <f>VLOOKUP(Table1[[#This Row],[Product]],Table2[],4,FALSE)</f>
        <v>850</v>
      </c>
      <c r="R114">
        <f>Table1[[#This Row],[Revenue (₹)  ← add]]-Table1[[#This Row],[Cost Price  ← add]]</f>
        <v>8144</v>
      </c>
      <c r="S114">
        <f>IF(C114="", "",Table1[[#This Row],[Delivery Date]]-Table1[[#This Row],[Order Date]])</f>
        <v>4</v>
      </c>
      <c r="T114" t="str">
        <f>TEXT(Table1[[#This Row],[Order Date]],"DDDD")</f>
        <v>Monday</v>
      </c>
    </row>
    <row r="115" spans="1:20" x14ac:dyDescent="0.3">
      <c r="A115" s="2" t="s">
        <v>349</v>
      </c>
      <c r="B115" s="10">
        <v>45833</v>
      </c>
      <c r="C115" s="10">
        <v>45841</v>
      </c>
      <c r="D115" s="2" t="s">
        <v>238</v>
      </c>
      <c r="E115" s="2" t="s">
        <v>254</v>
      </c>
      <c r="F115" s="2" t="s">
        <v>240</v>
      </c>
      <c r="G115" s="2" t="s">
        <v>198</v>
      </c>
      <c r="H115" s="2" t="s">
        <v>208</v>
      </c>
      <c r="I115" s="2">
        <v>4</v>
      </c>
      <c r="J115" s="11">
        <v>599</v>
      </c>
      <c r="K115" s="12">
        <v>0.05</v>
      </c>
      <c r="L115" s="2" t="s">
        <v>203</v>
      </c>
      <c r="M115" s="2" t="s">
        <v>195</v>
      </c>
      <c r="N115">
        <f>Table1[[#This Row],[Quantity]]*Table1[[#This Row],[Unit Price (₹)]]*(1-Table1[[#This Row],[Discount %]])</f>
        <v>2276.1999999999998</v>
      </c>
      <c r="O115" t="str">
        <f>TEXT(Table1[[#This Row],[Order Date]],"mmmm")</f>
        <v>June</v>
      </c>
      <c r="P115" t="str">
        <f>IF(Table1[[#This Row],[Revenue (₹)  ← add]]&gt;=15000,"High Value",IF(Table1[[#This Row],[Revenue (₹)  ← add]]&gt;=5000,"Medium","Low"))</f>
        <v>Low</v>
      </c>
      <c r="Q115">
        <f>VLOOKUP(Table1[[#This Row],[Product]],Table2[],4,FALSE)</f>
        <v>300</v>
      </c>
      <c r="R115">
        <f>Table1[[#This Row],[Revenue (₹)  ← add]]-Table1[[#This Row],[Cost Price  ← add]]</f>
        <v>1976.1999999999998</v>
      </c>
      <c r="S115">
        <f>IF(C115="", "",Table1[[#This Row],[Delivery Date]]-Table1[[#This Row],[Order Date]])</f>
        <v>8</v>
      </c>
      <c r="T115" t="str">
        <f>TEXT(Table1[[#This Row],[Order Date]],"DDDD")</f>
        <v>Wednesday</v>
      </c>
    </row>
    <row r="116" spans="1:20" x14ac:dyDescent="0.3">
      <c r="A116" s="2" t="s">
        <v>350</v>
      </c>
      <c r="B116" s="10">
        <v>45840</v>
      </c>
      <c r="C116" s="10">
        <v>45848</v>
      </c>
      <c r="D116" s="2" t="s">
        <v>189</v>
      </c>
      <c r="E116" s="2" t="s">
        <v>277</v>
      </c>
      <c r="F116" s="2" t="s">
        <v>213</v>
      </c>
      <c r="G116" s="2" t="s">
        <v>217</v>
      </c>
      <c r="H116" s="2" t="s">
        <v>236</v>
      </c>
      <c r="I116" s="2">
        <v>4</v>
      </c>
      <c r="J116" s="11">
        <v>2499</v>
      </c>
      <c r="K116" s="12">
        <v>0</v>
      </c>
      <c r="L116" s="2" t="s">
        <v>225</v>
      </c>
      <c r="M116" s="2" t="s">
        <v>195</v>
      </c>
      <c r="N116">
        <f>Table1[[#This Row],[Quantity]]*Table1[[#This Row],[Unit Price (₹)]]*(1-Table1[[#This Row],[Discount %]])</f>
        <v>9996</v>
      </c>
      <c r="O116" t="str">
        <f>TEXT(Table1[[#This Row],[Order Date]],"mmmm")</f>
        <v>July</v>
      </c>
      <c r="P116" t="str">
        <f>IF(Table1[[#This Row],[Revenue (₹)  ← add]]&gt;=15000,"High Value",IF(Table1[[#This Row],[Revenue (₹)  ← add]]&gt;=5000,"Medium","Low"))</f>
        <v>Medium</v>
      </c>
      <c r="Q116">
        <f>VLOOKUP(Table1[[#This Row],[Product]],Table2[],4,FALSE)</f>
        <v>1500</v>
      </c>
      <c r="R116">
        <f>Table1[[#This Row],[Revenue (₹)  ← add]]-Table1[[#This Row],[Cost Price  ← add]]</f>
        <v>8496</v>
      </c>
      <c r="S116">
        <f>IF(C116="", "",Table1[[#This Row],[Delivery Date]]-Table1[[#This Row],[Order Date]])</f>
        <v>8</v>
      </c>
      <c r="T116" t="str">
        <f>TEXT(Table1[[#This Row],[Order Date]],"DDDD")</f>
        <v>Wednesday</v>
      </c>
    </row>
    <row r="117" spans="1:20" x14ac:dyDescent="0.3">
      <c r="A117" s="2" t="s">
        <v>351</v>
      </c>
      <c r="B117" s="10">
        <v>45840</v>
      </c>
      <c r="C117" s="10">
        <v>45847</v>
      </c>
      <c r="D117" s="2" t="s">
        <v>238</v>
      </c>
      <c r="E117" s="2" t="s">
        <v>254</v>
      </c>
      <c r="F117" s="2" t="s">
        <v>240</v>
      </c>
      <c r="G117" s="2" t="s">
        <v>198</v>
      </c>
      <c r="H117" s="2" t="s">
        <v>208</v>
      </c>
      <c r="I117" s="2">
        <v>4</v>
      </c>
      <c r="J117" s="11">
        <v>599</v>
      </c>
      <c r="K117" s="12">
        <v>0.15</v>
      </c>
      <c r="L117" s="2" t="s">
        <v>229</v>
      </c>
      <c r="M117" s="2" t="s">
        <v>195</v>
      </c>
      <c r="N117">
        <f>Table1[[#This Row],[Quantity]]*Table1[[#This Row],[Unit Price (₹)]]*(1-Table1[[#This Row],[Discount %]])</f>
        <v>2036.6</v>
      </c>
      <c r="O117" t="str">
        <f>TEXT(Table1[[#This Row],[Order Date]],"mmmm")</f>
        <v>July</v>
      </c>
      <c r="P117" t="str">
        <f>IF(Table1[[#This Row],[Revenue (₹)  ← add]]&gt;=15000,"High Value",IF(Table1[[#This Row],[Revenue (₹)  ← add]]&gt;=5000,"Medium","Low"))</f>
        <v>Low</v>
      </c>
      <c r="Q117">
        <f>VLOOKUP(Table1[[#This Row],[Product]],Table2[],4,FALSE)</f>
        <v>300</v>
      </c>
      <c r="R117">
        <f>Table1[[#This Row],[Revenue (₹)  ← add]]-Table1[[#This Row],[Cost Price  ← add]]</f>
        <v>1736.6</v>
      </c>
      <c r="S117">
        <f>IF(C117="", "",Table1[[#This Row],[Delivery Date]]-Table1[[#This Row],[Order Date]])</f>
        <v>7</v>
      </c>
      <c r="T117" t="str">
        <f>TEXT(Table1[[#This Row],[Order Date]],"DDDD")</f>
        <v>Wednesday</v>
      </c>
    </row>
    <row r="118" spans="1:20" x14ac:dyDescent="0.3">
      <c r="A118" s="2" t="s">
        <v>352</v>
      </c>
      <c r="B118" s="10">
        <v>45841</v>
      </c>
      <c r="C118" s="10">
        <v>45845</v>
      </c>
      <c r="D118" s="2" t="s">
        <v>238</v>
      </c>
      <c r="E118" s="2" t="s">
        <v>239</v>
      </c>
      <c r="F118" s="2" t="s">
        <v>244</v>
      </c>
      <c r="G118" s="2" t="s">
        <v>192</v>
      </c>
      <c r="H118" s="2" t="s">
        <v>247</v>
      </c>
      <c r="I118" s="2">
        <v>24</v>
      </c>
      <c r="J118" s="11">
        <v>349</v>
      </c>
      <c r="K118" s="12">
        <v>0.15</v>
      </c>
      <c r="L118" s="2" t="s">
        <v>194</v>
      </c>
      <c r="M118" s="2" t="s">
        <v>195</v>
      </c>
      <c r="N118">
        <f>Table1[[#This Row],[Quantity]]*Table1[[#This Row],[Unit Price (₹)]]*(1-Table1[[#This Row],[Discount %]])</f>
        <v>7119.5999999999995</v>
      </c>
      <c r="O118" t="str">
        <f>TEXT(Table1[[#This Row],[Order Date]],"mmmm")</f>
        <v>July</v>
      </c>
      <c r="P118" t="str">
        <f>IF(Table1[[#This Row],[Revenue (₹)  ← add]]&gt;=15000,"High Value",IF(Table1[[#This Row],[Revenue (₹)  ← add]]&gt;=5000,"Medium","Low"))</f>
        <v>Medium</v>
      </c>
      <c r="Q118">
        <f>VLOOKUP(Table1[[#This Row],[Product]],Table2[],4,FALSE)</f>
        <v>180</v>
      </c>
      <c r="R118">
        <f>Table1[[#This Row],[Revenue (₹)  ← add]]-Table1[[#This Row],[Cost Price  ← add]]</f>
        <v>6939.5999999999995</v>
      </c>
      <c r="S118">
        <f>IF(C118="", "",Table1[[#This Row],[Delivery Date]]-Table1[[#This Row],[Order Date]])</f>
        <v>4</v>
      </c>
      <c r="T118" t="str">
        <f>TEXT(Table1[[#This Row],[Order Date]],"DDDD")</f>
        <v>Thursday</v>
      </c>
    </row>
    <row r="119" spans="1:20" x14ac:dyDescent="0.3">
      <c r="A119" s="2" t="s">
        <v>353</v>
      </c>
      <c r="B119" s="10">
        <v>45841</v>
      </c>
      <c r="C119" s="10">
        <v>45847</v>
      </c>
      <c r="D119" s="2" t="s">
        <v>189</v>
      </c>
      <c r="E119" s="2" t="s">
        <v>197</v>
      </c>
      <c r="F119" s="2" t="s">
        <v>213</v>
      </c>
      <c r="G119" s="2" t="s">
        <v>192</v>
      </c>
      <c r="H119" s="2" t="s">
        <v>247</v>
      </c>
      <c r="I119" s="2">
        <v>8</v>
      </c>
      <c r="J119" s="11">
        <v>349</v>
      </c>
      <c r="K119" s="12">
        <v>0.05</v>
      </c>
      <c r="L119" s="2" t="s">
        <v>229</v>
      </c>
      <c r="M119" s="2" t="s">
        <v>195</v>
      </c>
      <c r="N119">
        <f>Table1[[#This Row],[Quantity]]*Table1[[#This Row],[Unit Price (₹)]]*(1-Table1[[#This Row],[Discount %]])</f>
        <v>2652.4</v>
      </c>
      <c r="O119" t="str">
        <f>TEXT(Table1[[#This Row],[Order Date]],"mmmm")</f>
        <v>July</v>
      </c>
      <c r="P119" t="str">
        <f>IF(Table1[[#This Row],[Revenue (₹)  ← add]]&gt;=15000,"High Value",IF(Table1[[#This Row],[Revenue (₹)  ← add]]&gt;=5000,"Medium","Low"))</f>
        <v>Low</v>
      </c>
      <c r="Q119">
        <f>VLOOKUP(Table1[[#This Row],[Product]],Table2[],4,FALSE)</f>
        <v>180</v>
      </c>
      <c r="R119">
        <f>Table1[[#This Row],[Revenue (₹)  ← add]]-Table1[[#This Row],[Cost Price  ← add]]</f>
        <v>2472.4</v>
      </c>
      <c r="S119">
        <f>IF(C119="", "",Table1[[#This Row],[Delivery Date]]-Table1[[#This Row],[Order Date]])</f>
        <v>6</v>
      </c>
      <c r="T119" t="str">
        <f>TEXT(Table1[[#This Row],[Order Date]],"DDDD")</f>
        <v>Thursday</v>
      </c>
    </row>
    <row r="120" spans="1:20" x14ac:dyDescent="0.3">
      <c r="A120" s="2" t="s">
        <v>354</v>
      </c>
      <c r="B120" s="10">
        <v>45844</v>
      </c>
      <c r="C120" s="10">
        <v>45851</v>
      </c>
      <c r="D120" s="2" t="s">
        <v>238</v>
      </c>
      <c r="E120" s="2" t="s">
        <v>239</v>
      </c>
      <c r="F120" s="2" t="s">
        <v>240</v>
      </c>
      <c r="G120" s="2" t="s">
        <v>192</v>
      </c>
      <c r="H120" s="2" t="s">
        <v>193</v>
      </c>
      <c r="I120" s="2">
        <v>20</v>
      </c>
      <c r="J120" s="11">
        <v>249</v>
      </c>
      <c r="K120" s="12">
        <v>0.05</v>
      </c>
      <c r="L120" s="2" t="s">
        <v>225</v>
      </c>
      <c r="M120" s="2" t="s">
        <v>195</v>
      </c>
      <c r="N120">
        <f>Table1[[#This Row],[Quantity]]*Table1[[#This Row],[Unit Price (₹)]]*(1-Table1[[#This Row],[Discount %]])</f>
        <v>4731</v>
      </c>
      <c r="O120" t="str">
        <f>TEXT(Table1[[#This Row],[Order Date]],"mmmm")</f>
        <v>July</v>
      </c>
      <c r="P120" t="str">
        <f>IF(Table1[[#This Row],[Revenue (₹)  ← add]]&gt;=15000,"High Value",IF(Table1[[#This Row],[Revenue (₹)  ← add]]&gt;=5000,"Medium","Low"))</f>
        <v>Low</v>
      </c>
      <c r="Q120">
        <f>VLOOKUP(Table1[[#This Row],[Product]],Table2[],4,FALSE)</f>
        <v>120</v>
      </c>
      <c r="R120">
        <f>Table1[[#This Row],[Revenue (₹)  ← add]]-Table1[[#This Row],[Cost Price  ← add]]</f>
        <v>4611</v>
      </c>
      <c r="S120">
        <f>IF(C120="", "",Table1[[#This Row],[Delivery Date]]-Table1[[#This Row],[Order Date]])</f>
        <v>7</v>
      </c>
      <c r="T120" t="str">
        <f>TEXT(Table1[[#This Row],[Order Date]],"DDDD")</f>
        <v>Sunday</v>
      </c>
    </row>
    <row r="121" spans="1:20" x14ac:dyDescent="0.3">
      <c r="A121" s="2" t="s">
        <v>355</v>
      </c>
      <c r="B121" s="10">
        <v>45844</v>
      </c>
      <c r="C121" s="10">
        <v>45850</v>
      </c>
      <c r="D121" s="2" t="s">
        <v>189</v>
      </c>
      <c r="E121" s="2" t="s">
        <v>277</v>
      </c>
      <c r="F121" s="2" t="s">
        <v>191</v>
      </c>
      <c r="G121" s="2" t="s">
        <v>192</v>
      </c>
      <c r="H121" s="2" t="s">
        <v>234</v>
      </c>
      <c r="I121" s="2">
        <v>12</v>
      </c>
      <c r="J121" s="11">
        <v>599</v>
      </c>
      <c r="K121" s="12">
        <v>0</v>
      </c>
      <c r="L121" s="2" t="s">
        <v>194</v>
      </c>
      <c r="M121" s="2" t="s">
        <v>195</v>
      </c>
      <c r="N121">
        <f>Table1[[#This Row],[Quantity]]*Table1[[#This Row],[Unit Price (₹)]]*(1-Table1[[#This Row],[Discount %]])</f>
        <v>7188</v>
      </c>
      <c r="O121" t="str">
        <f>TEXT(Table1[[#This Row],[Order Date]],"mmmm")</f>
        <v>July</v>
      </c>
      <c r="P121" t="str">
        <f>IF(Table1[[#This Row],[Revenue (₹)  ← add]]&gt;=15000,"High Value",IF(Table1[[#This Row],[Revenue (₹)  ← add]]&gt;=5000,"Medium","Low"))</f>
        <v>Medium</v>
      </c>
      <c r="Q121">
        <f>VLOOKUP(Table1[[#This Row],[Product]],Table2[],4,FALSE)</f>
        <v>320</v>
      </c>
      <c r="R121">
        <f>Table1[[#This Row],[Revenue (₹)  ← add]]-Table1[[#This Row],[Cost Price  ← add]]</f>
        <v>6868</v>
      </c>
      <c r="S121">
        <f>IF(C121="", "",Table1[[#This Row],[Delivery Date]]-Table1[[#This Row],[Order Date]])</f>
        <v>6</v>
      </c>
      <c r="T121" t="str">
        <f>TEXT(Table1[[#This Row],[Order Date]],"DDDD")</f>
        <v>Sunday</v>
      </c>
    </row>
    <row r="122" spans="1:20" x14ac:dyDescent="0.3">
      <c r="A122" s="2" t="s">
        <v>356</v>
      </c>
      <c r="B122" s="10">
        <v>45845</v>
      </c>
      <c r="C122" s="10">
        <v>45853</v>
      </c>
      <c r="D122" s="2" t="s">
        <v>205</v>
      </c>
      <c r="E122" s="2" t="s">
        <v>206</v>
      </c>
      <c r="F122" s="2" t="s">
        <v>207</v>
      </c>
      <c r="G122" s="2" t="s">
        <v>217</v>
      </c>
      <c r="H122" s="2" t="s">
        <v>236</v>
      </c>
      <c r="I122" s="2">
        <v>3</v>
      </c>
      <c r="J122" s="11">
        <v>2499</v>
      </c>
      <c r="K122" s="12">
        <v>0.15</v>
      </c>
      <c r="L122" s="2" t="s">
        <v>214</v>
      </c>
      <c r="M122" s="2" t="s">
        <v>195</v>
      </c>
      <c r="N122">
        <f>Table1[[#This Row],[Quantity]]*Table1[[#This Row],[Unit Price (₹)]]*(1-Table1[[#This Row],[Discount %]])</f>
        <v>6372.45</v>
      </c>
      <c r="O122" t="str">
        <f>TEXT(Table1[[#This Row],[Order Date]],"mmmm")</f>
        <v>July</v>
      </c>
      <c r="P122" t="str">
        <f>IF(Table1[[#This Row],[Revenue (₹)  ← add]]&gt;=15000,"High Value",IF(Table1[[#This Row],[Revenue (₹)  ← add]]&gt;=5000,"Medium","Low"))</f>
        <v>Medium</v>
      </c>
      <c r="Q122">
        <f>VLOOKUP(Table1[[#This Row],[Product]],Table2[],4,FALSE)</f>
        <v>1500</v>
      </c>
      <c r="R122">
        <f>Table1[[#This Row],[Revenue (₹)  ← add]]-Table1[[#This Row],[Cost Price  ← add]]</f>
        <v>4872.45</v>
      </c>
      <c r="S122">
        <f>IF(C122="", "",Table1[[#This Row],[Delivery Date]]-Table1[[#This Row],[Order Date]])</f>
        <v>8</v>
      </c>
      <c r="T122" t="str">
        <f>TEXT(Table1[[#This Row],[Order Date]],"DDDD")</f>
        <v>Monday</v>
      </c>
    </row>
    <row r="123" spans="1:20" x14ac:dyDescent="0.3">
      <c r="A123" s="2" t="s">
        <v>357</v>
      </c>
      <c r="B123" s="10">
        <v>45845</v>
      </c>
      <c r="C123" s="10">
        <v>45853</v>
      </c>
      <c r="D123" s="2" t="s">
        <v>189</v>
      </c>
      <c r="E123" s="2" t="s">
        <v>277</v>
      </c>
      <c r="F123" s="2" t="s">
        <v>191</v>
      </c>
      <c r="G123" s="2" t="s">
        <v>217</v>
      </c>
      <c r="H123" s="2" t="s">
        <v>255</v>
      </c>
      <c r="I123" s="2">
        <v>1</v>
      </c>
      <c r="J123" s="11">
        <v>1999</v>
      </c>
      <c r="K123" s="12">
        <v>0</v>
      </c>
      <c r="L123" s="2" t="s">
        <v>203</v>
      </c>
      <c r="M123" s="2" t="s">
        <v>195</v>
      </c>
      <c r="N123">
        <f>Table1[[#This Row],[Quantity]]*Table1[[#This Row],[Unit Price (₹)]]*(1-Table1[[#This Row],[Discount %]])</f>
        <v>1999</v>
      </c>
      <c r="O123" t="str">
        <f>TEXT(Table1[[#This Row],[Order Date]],"mmmm")</f>
        <v>July</v>
      </c>
      <c r="P123" t="str">
        <f>IF(Table1[[#This Row],[Revenue (₹)  ← add]]&gt;=15000,"High Value",IF(Table1[[#This Row],[Revenue (₹)  ← add]]&gt;=5000,"Medium","Low"))</f>
        <v>Low</v>
      </c>
      <c r="Q123">
        <f>VLOOKUP(Table1[[#This Row],[Product]],Table2[],4,FALSE)</f>
        <v>1100</v>
      </c>
      <c r="R123">
        <f>Table1[[#This Row],[Revenue (₹)  ← add]]-Table1[[#This Row],[Cost Price  ← add]]</f>
        <v>899</v>
      </c>
      <c r="S123">
        <f>IF(C123="", "",Table1[[#This Row],[Delivery Date]]-Table1[[#This Row],[Order Date]])</f>
        <v>8</v>
      </c>
      <c r="T123" t="str">
        <f>TEXT(Table1[[#This Row],[Order Date]],"DDDD")</f>
        <v>Monday</v>
      </c>
    </row>
    <row r="124" spans="1:20" x14ac:dyDescent="0.3">
      <c r="A124" s="2" t="s">
        <v>358</v>
      </c>
      <c r="B124" s="10">
        <v>45846</v>
      </c>
      <c r="C124" s="10">
        <v>45855</v>
      </c>
      <c r="D124" s="2" t="s">
        <v>238</v>
      </c>
      <c r="E124" s="2" t="s">
        <v>243</v>
      </c>
      <c r="F124" s="2" t="s">
        <v>240</v>
      </c>
      <c r="G124" s="2" t="s">
        <v>217</v>
      </c>
      <c r="H124" s="2" t="s">
        <v>228</v>
      </c>
      <c r="I124" s="2">
        <v>3</v>
      </c>
      <c r="J124" s="11">
        <v>799</v>
      </c>
      <c r="K124" s="12">
        <v>0.2</v>
      </c>
      <c r="L124" s="2" t="s">
        <v>203</v>
      </c>
      <c r="M124" s="2" t="s">
        <v>195</v>
      </c>
      <c r="N124">
        <f>Table1[[#This Row],[Quantity]]*Table1[[#This Row],[Unit Price (₹)]]*(1-Table1[[#This Row],[Discount %]])</f>
        <v>1917.6000000000001</v>
      </c>
      <c r="O124" t="str">
        <f>TEXT(Table1[[#This Row],[Order Date]],"mmmm")</f>
        <v>July</v>
      </c>
      <c r="P124" t="str">
        <f>IF(Table1[[#This Row],[Revenue (₹)  ← add]]&gt;=15000,"High Value",IF(Table1[[#This Row],[Revenue (₹)  ← add]]&gt;=5000,"Medium","Low"))</f>
        <v>Low</v>
      </c>
      <c r="Q124">
        <f>VLOOKUP(Table1[[#This Row],[Product]],Table2[],4,FALSE)</f>
        <v>450</v>
      </c>
      <c r="R124">
        <f>Table1[[#This Row],[Revenue (₹)  ← add]]-Table1[[#This Row],[Cost Price  ← add]]</f>
        <v>1467.6000000000001</v>
      </c>
      <c r="S124">
        <f>IF(C124="", "",Table1[[#This Row],[Delivery Date]]-Table1[[#This Row],[Order Date]])</f>
        <v>9</v>
      </c>
      <c r="T124" t="str">
        <f>TEXT(Table1[[#This Row],[Order Date]],"DDDD")</f>
        <v>Tuesday</v>
      </c>
    </row>
    <row r="125" spans="1:20" x14ac:dyDescent="0.3">
      <c r="A125" s="2" t="s">
        <v>359</v>
      </c>
      <c r="B125" s="10">
        <v>45848</v>
      </c>
      <c r="C125" s="10">
        <v>45851</v>
      </c>
      <c r="D125" s="2" t="s">
        <v>189</v>
      </c>
      <c r="E125" s="2" t="s">
        <v>277</v>
      </c>
      <c r="F125" s="2" t="s">
        <v>213</v>
      </c>
      <c r="G125" s="2" t="s">
        <v>201</v>
      </c>
      <c r="H125" s="2" t="s">
        <v>202</v>
      </c>
      <c r="I125" s="2">
        <v>3</v>
      </c>
      <c r="J125" s="11">
        <v>8499</v>
      </c>
      <c r="K125" s="12">
        <v>0.2</v>
      </c>
      <c r="L125" s="2" t="s">
        <v>203</v>
      </c>
      <c r="M125" s="2" t="s">
        <v>195</v>
      </c>
      <c r="N125">
        <f>Table1[[#This Row],[Quantity]]*Table1[[#This Row],[Unit Price (₹)]]*(1-Table1[[#This Row],[Discount %]])</f>
        <v>20397.600000000002</v>
      </c>
      <c r="O125" t="str">
        <f>TEXT(Table1[[#This Row],[Order Date]],"mmmm")</f>
        <v>July</v>
      </c>
      <c r="P125" t="str">
        <f>IF(Table1[[#This Row],[Revenue (₹)  ← add]]&gt;=15000,"High Value",IF(Table1[[#This Row],[Revenue (₹)  ← add]]&gt;=5000,"Medium","Low"))</f>
        <v>High Value</v>
      </c>
      <c r="Q125">
        <f>VLOOKUP(Table1[[#This Row],[Product]],Table2[],4,FALSE)</f>
        <v>5200</v>
      </c>
      <c r="R125">
        <f>Table1[[#This Row],[Revenue (₹)  ← add]]-Table1[[#This Row],[Cost Price  ← add]]</f>
        <v>15197.600000000002</v>
      </c>
      <c r="S125">
        <f>IF(C125="", "",Table1[[#This Row],[Delivery Date]]-Table1[[#This Row],[Order Date]])</f>
        <v>3</v>
      </c>
      <c r="T125" t="str">
        <f>TEXT(Table1[[#This Row],[Order Date]],"DDDD")</f>
        <v>Thursday</v>
      </c>
    </row>
    <row r="126" spans="1:20" x14ac:dyDescent="0.3">
      <c r="A126" s="2" t="s">
        <v>360</v>
      </c>
      <c r="B126" s="10">
        <v>45849</v>
      </c>
      <c r="C126" s="10">
        <v>45858</v>
      </c>
      <c r="D126" s="2" t="s">
        <v>189</v>
      </c>
      <c r="E126" s="2" t="s">
        <v>277</v>
      </c>
      <c r="F126" s="2" t="s">
        <v>213</v>
      </c>
      <c r="G126" s="2" t="s">
        <v>201</v>
      </c>
      <c r="H126" s="2" t="s">
        <v>250</v>
      </c>
      <c r="I126" s="2">
        <v>3</v>
      </c>
      <c r="J126" s="11">
        <v>5499</v>
      </c>
      <c r="K126" s="12">
        <v>0.05</v>
      </c>
      <c r="L126" s="2" t="s">
        <v>229</v>
      </c>
      <c r="M126" s="2" t="s">
        <v>195</v>
      </c>
      <c r="N126">
        <f>Table1[[#This Row],[Quantity]]*Table1[[#This Row],[Unit Price (₹)]]*(1-Table1[[#This Row],[Discount %]])</f>
        <v>15672.15</v>
      </c>
      <c r="O126" t="str">
        <f>TEXT(Table1[[#This Row],[Order Date]],"mmmm")</f>
        <v>July</v>
      </c>
      <c r="P126" t="str">
        <f>IF(Table1[[#This Row],[Revenue (₹)  ← add]]&gt;=15000,"High Value",IF(Table1[[#This Row],[Revenue (₹)  ← add]]&gt;=5000,"Medium","Low"))</f>
        <v>High Value</v>
      </c>
      <c r="Q126">
        <f>VLOOKUP(Table1[[#This Row],[Product]],Table2[],4,FALSE)</f>
        <v>3300</v>
      </c>
      <c r="R126">
        <f>Table1[[#This Row],[Revenue (₹)  ← add]]-Table1[[#This Row],[Cost Price  ← add]]</f>
        <v>12372.15</v>
      </c>
      <c r="S126">
        <f>IF(C126="", "",Table1[[#This Row],[Delivery Date]]-Table1[[#This Row],[Order Date]])</f>
        <v>9</v>
      </c>
      <c r="T126" t="str">
        <f>TEXT(Table1[[#This Row],[Order Date]],"DDDD")</f>
        <v>Friday</v>
      </c>
    </row>
    <row r="127" spans="1:20" x14ac:dyDescent="0.3">
      <c r="A127" s="2" t="s">
        <v>361</v>
      </c>
      <c r="B127" s="10">
        <v>45850</v>
      </c>
      <c r="C127" s="10">
        <v>45856</v>
      </c>
      <c r="D127" s="2" t="s">
        <v>238</v>
      </c>
      <c r="E127" s="2" t="s">
        <v>243</v>
      </c>
      <c r="F127" s="2" t="s">
        <v>240</v>
      </c>
      <c r="G127" s="2" t="s">
        <v>192</v>
      </c>
      <c r="H127" s="2" t="s">
        <v>247</v>
      </c>
      <c r="I127" s="2">
        <v>22</v>
      </c>
      <c r="J127" s="11">
        <v>349</v>
      </c>
      <c r="K127" s="12">
        <v>0.1</v>
      </c>
      <c r="L127" s="2" t="s">
        <v>229</v>
      </c>
      <c r="M127" s="2" t="s">
        <v>195</v>
      </c>
      <c r="N127">
        <f>Table1[[#This Row],[Quantity]]*Table1[[#This Row],[Unit Price (₹)]]*(1-Table1[[#This Row],[Discount %]])</f>
        <v>6910.2</v>
      </c>
      <c r="O127" t="str">
        <f>TEXT(Table1[[#This Row],[Order Date]],"mmmm")</f>
        <v>July</v>
      </c>
      <c r="P127" t="str">
        <f>IF(Table1[[#This Row],[Revenue (₹)  ← add]]&gt;=15000,"High Value",IF(Table1[[#This Row],[Revenue (₹)  ← add]]&gt;=5000,"Medium","Low"))</f>
        <v>Medium</v>
      </c>
      <c r="Q127">
        <f>VLOOKUP(Table1[[#This Row],[Product]],Table2[],4,FALSE)</f>
        <v>180</v>
      </c>
      <c r="R127">
        <f>Table1[[#This Row],[Revenue (₹)  ← add]]-Table1[[#This Row],[Cost Price  ← add]]</f>
        <v>6730.2</v>
      </c>
      <c r="S127">
        <f>IF(C127="", "",Table1[[#This Row],[Delivery Date]]-Table1[[#This Row],[Order Date]])</f>
        <v>6</v>
      </c>
      <c r="T127" t="str">
        <f>TEXT(Table1[[#This Row],[Order Date]],"DDDD")</f>
        <v>Saturday</v>
      </c>
    </row>
    <row r="128" spans="1:20" x14ac:dyDescent="0.3">
      <c r="A128" s="2" t="s">
        <v>362</v>
      </c>
      <c r="B128" s="10">
        <v>45850</v>
      </c>
      <c r="C128" s="10">
        <v>45855</v>
      </c>
      <c r="D128" s="2" t="s">
        <v>238</v>
      </c>
      <c r="E128" s="2" t="s">
        <v>239</v>
      </c>
      <c r="F128" s="2" t="s">
        <v>244</v>
      </c>
      <c r="G128" s="2" t="s">
        <v>201</v>
      </c>
      <c r="H128" s="2" t="s">
        <v>250</v>
      </c>
      <c r="I128" s="2">
        <v>3</v>
      </c>
      <c r="J128" s="11">
        <v>5499</v>
      </c>
      <c r="K128" s="12">
        <v>0.2</v>
      </c>
      <c r="L128" s="2" t="s">
        <v>194</v>
      </c>
      <c r="M128" s="2" t="s">
        <v>195</v>
      </c>
      <c r="N128">
        <f>Table1[[#This Row],[Quantity]]*Table1[[#This Row],[Unit Price (₹)]]*(1-Table1[[#This Row],[Discount %]])</f>
        <v>13197.6</v>
      </c>
      <c r="O128" t="str">
        <f>TEXT(Table1[[#This Row],[Order Date]],"mmmm")</f>
        <v>July</v>
      </c>
      <c r="P128" t="str">
        <f>IF(Table1[[#This Row],[Revenue (₹)  ← add]]&gt;=15000,"High Value",IF(Table1[[#This Row],[Revenue (₹)  ← add]]&gt;=5000,"Medium","Low"))</f>
        <v>Medium</v>
      </c>
      <c r="Q128">
        <f>VLOOKUP(Table1[[#This Row],[Product]],Table2[],4,FALSE)</f>
        <v>3300</v>
      </c>
      <c r="R128">
        <f>Table1[[#This Row],[Revenue (₹)  ← add]]-Table1[[#This Row],[Cost Price  ← add]]</f>
        <v>9897.6</v>
      </c>
      <c r="S128">
        <f>IF(C128="", "",Table1[[#This Row],[Delivery Date]]-Table1[[#This Row],[Order Date]])</f>
        <v>5</v>
      </c>
      <c r="T128" t="str">
        <f>TEXT(Table1[[#This Row],[Order Date]],"DDDD")</f>
        <v>Saturday</v>
      </c>
    </row>
    <row r="129" spans="1:20" x14ac:dyDescent="0.3">
      <c r="A129" s="2" t="s">
        <v>363</v>
      </c>
      <c r="B129" s="10">
        <v>45853</v>
      </c>
      <c r="C129" s="10">
        <v>45862</v>
      </c>
      <c r="D129" s="2" t="s">
        <v>238</v>
      </c>
      <c r="E129" s="2" t="s">
        <v>243</v>
      </c>
      <c r="F129" s="2" t="s">
        <v>244</v>
      </c>
      <c r="G129" s="2" t="s">
        <v>217</v>
      </c>
      <c r="H129" s="2" t="s">
        <v>218</v>
      </c>
      <c r="I129" s="2">
        <v>5</v>
      </c>
      <c r="J129" s="11">
        <v>1499</v>
      </c>
      <c r="K129" s="12">
        <v>0</v>
      </c>
      <c r="L129" s="2" t="s">
        <v>203</v>
      </c>
      <c r="M129" s="2" t="s">
        <v>195</v>
      </c>
      <c r="N129">
        <f>Table1[[#This Row],[Quantity]]*Table1[[#This Row],[Unit Price (₹)]]*(1-Table1[[#This Row],[Discount %]])</f>
        <v>7495</v>
      </c>
      <c r="O129" t="str">
        <f>TEXT(Table1[[#This Row],[Order Date]],"mmmm")</f>
        <v>July</v>
      </c>
      <c r="P129" t="str">
        <f>IF(Table1[[#This Row],[Revenue (₹)  ← add]]&gt;=15000,"High Value",IF(Table1[[#This Row],[Revenue (₹)  ← add]]&gt;=5000,"Medium","Low"))</f>
        <v>Medium</v>
      </c>
      <c r="Q129">
        <f>VLOOKUP(Table1[[#This Row],[Product]],Table2[],4,FALSE)</f>
        <v>850</v>
      </c>
      <c r="R129">
        <f>Table1[[#This Row],[Revenue (₹)  ← add]]-Table1[[#This Row],[Cost Price  ← add]]</f>
        <v>6645</v>
      </c>
      <c r="S129">
        <f>IF(C129="", "",Table1[[#This Row],[Delivery Date]]-Table1[[#This Row],[Order Date]])</f>
        <v>9</v>
      </c>
      <c r="T129" t="str">
        <f>TEXT(Table1[[#This Row],[Order Date]],"DDDD")</f>
        <v>Tuesday</v>
      </c>
    </row>
    <row r="130" spans="1:20" x14ac:dyDescent="0.3">
      <c r="A130" s="2" t="s">
        <v>364</v>
      </c>
      <c r="B130" s="10">
        <v>45857</v>
      </c>
      <c r="C130" s="10">
        <v>45866</v>
      </c>
      <c r="D130" s="2" t="s">
        <v>222</v>
      </c>
      <c r="E130" s="2" t="s">
        <v>259</v>
      </c>
      <c r="F130" s="2" t="s">
        <v>224</v>
      </c>
      <c r="G130" s="2" t="s">
        <v>217</v>
      </c>
      <c r="H130" s="2" t="s">
        <v>218</v>
      </c>
      <c r="I130" s="2">
        <v>2</v>
      </c>
      <c r="J130" s="11">
        <v>1499</v>
      </c>
      <c r="K130" s="12">
        <v>0.1</v>
      </c>
      <c r="L130" s="2" t="s">
        <v>203</v>
      </c>
      <c r="M130" s="2" t="s">
        <v>195</v>
      </c>
      <c r="N130">
        <f>Table1[[#This Row],[Quantity]]*Table1[[#This Row],[Unit Price (₹)]]*(1-Table1[[#This Row],[Discount %]])</f>
        <v>2698.2000000000003</v>
      </c>
      <c r="O130" t="str">
        <f>TEXT(Table1[[#This Row],[Order Date]],"mmmm")</f>
        <v>July</v>
      </c>
      <c r="P130" t="str">
        <f>IF(Table1[[#This Row],[Revenue (₹)  ← add]]&gt;=15000,"High Value",IF(Table1[[#This Row],[Revenue (₹)  ← add]]&gt;=5000,"Medium","Low"))</f>
        <v>Low</v>
      </c>
      <c r="Q130">
        <f>VLOOKUP(Table1[[#This Row],[Product]],Table2[],4,FALSE)</f>
        <v>850</v>
      </c>
      <c r="R130">
        <f>Table1[[#This Row],[Revenue (₹)  ← add]]-Table1[[#This Row],[Cost Price  ← add]]</f>
        <v>1848.2000000000003</v>
      </c>
      <c r="S130">
        <f>IF(C130="", "",Table1[[#This Row],[Delivery Date]]-Table1[[#This Row],[Order Date]])</f>
        <v>9</v>
      </c>
      <c r="T130" t="str">
        <f>TEXT(Table1[[#This Row],[Order Date]],"DDDD")</f>
        <v>Saturday</v>
      </c>
    </row>
    <row r="131" spans="1:20" x14ac:dyDescent="0.3">
      <c r="A131" s="2" t="s">
        <v>365</v>
      </c>
      <c r="B131" s="10">
        <v>45858</v>
      </c>
      <c r="C131" s="10">
        <v>45862</v>
      </c>
      <c r="D131" s="2" t="s">
        <v>222</v>
      </c>
      <c r="E131" s="2" t="s">
        <v>223</v>
      </c>
      <c r="F131" s="2" t="s">
        <v>249</v>
      </c>
      <c r="G131" s="2" t="s">
        <v>198</v>
      </c>
      <c r="H131" s="2" t="s">
        <v>199</v>
      </c>
      <c r="I131" s="2">
        <v>3</v>
      </c>
      <c r="J131" s="11">
        <v>2999</v>
      </c>
      <c r="K131" s="12">
        <v>0.2</v>
      </c>
      <c r="L131" s="2" t="s">
        <v>229</v>
      </c>
      <c r="M131" s="2" t="s">
        <v>195</v>
      </c>
      <c r="N131">
        <f>Table1[[#This Row],[Quantity]]*Table1[[#This Row],[Unit Price (₹)]]*(1-Table1[[#This Row],[Discount %]])</f>
        <v>7197.6</v>
      </c>
      <c r="O131" t="str">
        <f>TEXT(Table1[[#This Row],[Order Date]],"mmmm")</f>
        <v>July</v>
      </c>
      <c r="P131" t="str">
        <f>IF(Table1[[#This Row],[Revenue (₹)  ← add]]&gt;=15000,"High Value",IF(Table1[[#This Row],[Revenue (₹)  ← add]]&gt;=5000,"Medium","Low"))</f>
        <v>Medium</v>
      </c>
      <c r="Q131">
        <f>VLOOKUP(Table1[[#This Row],[Product]],Table2[],4,FALSE)</f>
        <v>1700</v>
      </c>
      <c r="R131">
        <f>Table1[[#This Row],[Revenue (₹)  ← add]]-Table1[[#This Row],[Cost Price  ← add]]</f>
        <v>5497.6</v>
      </c>
      <c r="S131">
        <f>IF(C131="", "",Table1[[#This Row],[Delivery Date]]-Table1[[#This Row],[Order Date]])</f>
        <v>4</v>
      </c>
      <c r="T131" t="str">
        <f>TEXT(Table1[[#This Row],[Order Date]],"DDDD")</f>
        <v>Sunday</v>
      </c>
    </row>
    <row r="132" spans="1:20" x14ac:dyDescent="0.3">
      <c r="A132" s="2" t="s">
        <v>366</v>
      </c>
      <c r="B132" s="10">
        <v>45859</v>
      </c>
      <c r="C132" s="10">
        <v>45862</v>
      </c>
      <c r="D132" s="2" t="s">
        <v>205</v>
      </c>
      <c r="E132" s="2" t="s">
        <v>227</v>
      </c>
      <c r="F132" s="2" t="s">
        <v>207</v>
      </c>
      <c r="G132" s="2" t="s">
        <v>217</v>
      </c>
      <c r="H132" s="2" t="s">
        <v>255</v>
      </c>
      <c r="I132" s="2">
        <v>1</v>
      </c>
      <c r="J132" s="11">
        <v>1999</v>
      </c>
      <c r="K132" s="12">
        <v>0</v>
      </c>
      <c r="L132" s="2" t="s">
        <v>225</v>
      </c>
      <c r="M132" s="2" t="s">
        <v>195</v>
      </c>
      <c r="N132">
        <f>Table1[[#This Row],[Quantity]]*Table1[[#This Row],[Unit Price (₹)]]*(1-Table1[[#This Row],[Discount %]])</f>
        <v>1999</v>
      </c>
      <c r="O132" t="str">
        <f>TEXT(Table1[[#This Row],[Order Date]],"mmmm")</f>
        <v>July</v>
      </c>
      <c r="P132" t="str">
        <f>IF(Table1[[#This Row],[Revenue (₹)  ← add]]&gt;=15000,"High Value",IF(Table1[[#This Row],[Revenue (₹)  ← add]]&gt;=5000,"Medium","Low"))</f>
        <v>Low</v>
      </c>
      <c r="Q132">
        <f>VLOOKUP(Table1[[#This Row],[Product]],Table2[],4,FALSE)</f>
        <v>1100</v>
      </c>
      <c r="R132">
        <f>Table1[[#This Row],[Revenue (₹)  ← add]]-Table1[[#This Row],[Cost Price  ← add]]</f>
        <v>899</v>
      </c>
      <c r="S132">
        <f>IF(C132="", "",Table1[[#This Row],[Delivery Date]]-Table1[[#This Row],[Order Date]])</f>
        <v>3</v>
      </c>
      <c r="T132" t="str">
        <f>TEXT(Table1[[#This Row],[Order Date]],"DDDD")</f>
        <v>Monday</v>
      </c>
    </row>
    <row r="133" spans="1:20" x14ac:dyDescent="0.3">
      <c r="A133" s="2" t="s">
        <v>367</v>
      </c>
      <c r="B133" s="10">
        <v>45860</v>
      </c>
      <c r="C133" s="10">
        <v>45865</v>
      </c>
      <c r="D133" s="2" t="s">
        <v>189</v>
      </c>
      <c r="E133" s="2" t="s">
        <v>197</v>
      </c>
      <c r="F133" s="2" t="s">
        <v>213</v>
      </c>
      <c r="G133" s="2" t="s">
        <v>192</v>
      </c>
      <c r="H133" s="2" t="s">
        <v>234</v>
      </c>
      <c r="I133" s="2">
        <v>12</v>
      </c>
      <c r="J133" s="11">
        <v>599</v>
      </c>
      <c r="K133" s="12">
        <v>0.1</v>
      </c>
      <c r="L133" s="2" t="s">
        <v>203</v>
      </c>
      <c r="M133" s="2" t="s">
        <v>219</v>
      </c>
      <c r="N133">
        <f>Table1[[#This Row],[Quantity]]*Table1[[#This Row],[Unit Price (₹)]]*(1-Table1[[#This Row],[Discount %]])</f>
        <v>6469.2</v>
      </c>
      <c r="O133" t="str">
        <f>TEXT(Table1[[#This Row],[Order Date]],"mmmm")</f>
        <v>July</v>
      </c>
      <c r="P133" t="str">
        <f>IF(Table1[[#This Row],[Revenue (₹)  ← add]]&gt;=15000,"High Value",IF(Table1[[#This Row],[Revenue (₹)  ← add]]&gt;=5000,"Medium","Low"))</f>
        <v>Medium</v>
      </c>
      <c r="Q133">
        <f>VLOOKUP(Table1[[#This Row],[Product]],Table2[],4,FALSE)</f>
        <v>320</v>
      </c>
      <c r="R133">
        <f>Table1[[#This Row],[Revenue (₹)  ← add]]-Table1[[#This Row],[Cost Price  ← add]]</f>
        <v>6149.2</v>
      </c>
      <c r="S133">
        <f>IF(C133="", "",Table1[[#This Row],[Delivery Date]]-Table1[[#This Row],[Order Date]])</f>
        <v>5</v>
      </c>
      <c r="T133" t="str">
        <f>TEXT(Table1[[#This Row],[Order Date]],"DDDD")</f>
        <v>Tuesday</v>
      </c>
    </row>
    <row r="134" spans="1:20" x14ac:dyDescent="0.3">
      <c r="A134" s="2" t="s">
        <v>368</v>
      </c>
      <c r="B134" s="10">
        <v>45864</v>
      </c>
      <c r="C134" s="10"/>
      <c r="D134" s="2" t="s">
        <v>222</v>
      </c>
      <c r="E134" s="2" t="s">
        <v>259</v>
      </c>
      <c r="F134" s="2" t="s">
        <v>249</v>
      </c>
      <c r="G134" s="2" t="s">
        <v>192</v>
      </c>
      <c r="H134" s="2" t="s">
        <v>234</v>
      </c>
      <c r="I134" s="2">
        <v>3</v>
      </c>
      <c r="J134" s="11">
        <v>599</v>
      </c>
      <c r="K134" s="12">
        <v>0.1</v>
      </c>
      <c r="L134" s="2" t="s">
        <v>229</v>
      </c>
      <c r="M134" s="2" t="s">
        <v>215</v>
      </c>
      <c r="N134">
        <f>Table1[[#This Row],[Quantity]]*Table1[[#This Row],[Unit Price (₹)]]*(1-Table1[[#This Row],[Discount %]])</f>
        <v>1617.3</v>
      </c>
      <c r="O134" t="str">
        <f>TEXT(Table1[[#This Row],[Order Date]],"mmmm")</f>
        <v>July</v>
      </c>
      <c r="P134" t="str">
        <f>IF(Table1[[#This Row],[Revenue (₹)  ← add]]&gt;=15000,"High Value",IF(Table1[[#This Row],[Revenue (₹)  ← add]]&gt;=5000,"Medium","Low"))</f>
        <v>Low</v>
      </c>
      <c r="Q134">
        <f>VLOOKUP(Table1[[#This Row],[Product]],Table2[],4,FALSE)</f>
        <v>320</v>
      </c>
      <c r="R134">
        <f>Table1[[#This Row],[Revenue (₹)  ← add]]-Table1[[#This Row],[Cost Price  ← add]]</f>
        <v>1297.3</v>
      </c>
      <c r="S134" t="str">
        <f>IF(C134="", "",Table1[[#This Row],[Delivery Date]]-Table1[[#This Row],[Order Date]])</f>
        <v/>
      </c>
      <c r="T134" t="str">
        <f>TEXT(Table1[[#This Row],[Order Date]],"DDDD")</f>
        <v>Saturday</v>
      </c>
    </row>
    <row r="135" spans="1:20" x14ac:dyDescent="0.3">
      <c r="A135" s="2" t="s">
        <v>369</v>
      </c>
      <c r="B135" s="10">
        <v>45868</v>
      </c>
      <c r="C135" s="10">
        <v>45870</v>
      </c>
      <c r="D135" s="2" t="s">
        <v>205</v>
      </c>
      <c r="E135" s="2" t="s">
        <v>210</v>
      </c>
      <c r="F135" s="2" t="s">
        <v>211</v>
      </c>
      <c r="G135" s="2" t="s">
        <v>201</v>
      </c>
      <c r="H135" s="2" t="s">
        <v>314</v>
      </c>
      <c r="I135" s="2">
        <v>2</v>
      </c>
      <c r="J135" s="11">
        <v>6999</v>
      </c>
      <c r="K135" s="12">
        <v>0.15</v>
      </c>
      <c r="L135" s="2" t="s">
        <v>194</v>
      </c>
      <c r="M135" s="2" t="s">
        <v>195</v>
      </c>
      <c r="N135">
        <f>Table1[[#This Row],[Quantity]]*Table1[[#This Row],[Unit Price (₹)]]*(1-Table1[[#This Row],[Discount %]])</f>
        <v>11898.3</v>
      </c>
      <c r="O135" t="str">
        <f>TEXT(Table1[[#This Row],[Order Date]],"mmmm")</f>
        <v>July</v>
      </c>
      <c r="P135" t="str">
        <f>IF(Table1[[#This Row],[Revenue (₹)  ← add]]&gt;=15000,"High Value",IF(Table1[[#This Row],[Revenue (₹)  ← add]]&gt;=5000,"Medium","Low"))</f>
        <v>Medium</v>
      </c>
      <c r="Q135">
        <f>VLOOKUP(Table1[[#This Row],[Product]],Table2[],4,FALSE)</f>
        <v>4200</v>
      </c>
      <c r="R135">
        <f>Table1[[#This Row],[Revenue (₹)  ← add]]-Table1[[#This Row],[Cost Price  ← add]]</f>
        <v>7698.2999999999993</v>
      </c>
      <c r="S135">
        <f>IF(C135="", "",Table1[[#This Row],[Delivery Date]]-Table1[[#This Row],[Order Date]])</f>
        <v>2</v>
      </c>
      <c r="T135" t="str">
        <f>TEXT(Table1[[#This Row],[Order Date]],"DDDD")</f>
        <v>Wednesday</v>
      </c>
    </row>
    <row r="136" spans="1:20" x14ac:dyDescent="0.3">
      <c r="A136" s="2" t="s">
        <v>370</v>
      </c>
      <c r="B136" s="10">
        <v>45869</v>
      </c>
      <c r="C136" s="10">
        <v>45874</v>
      </c>
      <c r="D136" s="2" t="s">
        <v>189</v>
      </c>
      <c r="E136" s="2" t="s">
        <v>197</v>
      </c>
      <c r="F136" s="2" t="s">
        <v>191</v>
      </c>
      <c r="G136" s="2" t="s">
        <v>201</v>
      </c>
      <c r="H136" s="2" t="s">
        <v>250</v>
      </c>
      <c r="I136" s="2">
        <v>3</v>
      </c>
      <c r="J136" s="11">
        <v>5499</v>
      </c>
      <c r="K136" s="12">
        <v>0</v>
      </c>
      <c r="L136" s="2" t="s">
        <v>203</v>
      </c>
      <c r="M136" s="2" t="s">
        <v>195</v>
      </c>
      <c r="N136">
        <f>Table1[[#This Row],[Quantity]]*Table1[[#This Row],[Unit Price (₹)]]*(1-Table1[[#This Row],[Discount %]])</f>
        <v>16497</v>
      </c>
      <c r="O136" t="str">
        <f>TEXT(Table1[[#This Row],[Order Date]],"mmmm")</f>
        <v>July</v>
      </c>
      <c r="P136" t="str">
        <f>IF(Table1[[#This Row],[Revenue (₹)  ← add]]&gt;=15000,"High Value",IF(Table1[[#This Row],[Revenue (₹)  ← add]]&gt;=5000,"Medium","Low"))</f>
        <v>High Value</v>
      </c>
      <c r="Q136">
        <f>VLOOKUP(Table1[[#This Row],[Product]],Table2[],4,FALSE)</f>
        <v>3300</v>
      </c>
      <c r="R136">
        <f>Table1[[#This Row],[Revenue (₹)  ← add]]-Table1[[#This Row],[Cost Price  ← add]]</f>
        <v>13197</v>
      </c>
      <c r="S136">
        <f>IF(C136="", "",Table1[[#This Row],[Delivery Date]]-Table1[[#This Row],[Order Date]])</f>
        <v>5</v>
      </c>
      <c r="T136" t="str">
        <f>TEXT(Table1[[#This Row],[Order Date]],"DDDD")</f>
        <v>Thursday</v>
      </c>
    </row>
    <row r="137" spans="1:20" x14ac:dyDescent="0.3">
      <c r="A137" s="2" t="s">
        <v>371</v>
      </c>
      <c r="B137" s="10">
        <v>45870</v>
      </c>
      <c r="C137" s="10">
        <v>45879</v>
      </c>
      <c r="D137" s="2" t="s">
        <v>222</v>
      </c>
      <c r="E137" s="2" t="s">
        <v>231</v>
      </c>
      <c r="F137" s="2" t="s">
        <v>249</v>
      </c>
      <c r="G137" s="2" t="s">
        <v>198</v>
      </c>
      <c r="H137" s="2" t="s">
        <v>208</v>
      </c>
      <c r="I137" s="2">
        <v>5</v>
      </c>
      <c r="J137" s="11">
        <v>599</v>
      </c>
      <c r="K137" s="12">
        <v>0.1</v>
      </c>
      <c r="L137" s="2" t="s">
        <v>203</v>
      </c>
      <c r="M137" s="2" t="s">
        <v>195</v>
      </c>
      <c r="N137">
        <f>Table1[[#This Row],[Quantity]]*Table1[[#This Row],[Unit Price (₹)]]*(1-Table1[[#This Row],[Discount %]])</f>
        <v>2695.5</v>
      </c>
      <c r="O137" t="str">
        <f>TEXT(Table1[[#This Row],[Order Date]],"mmmm")</f>
        <v>August</v>
      </c>
      <c r="P137" t="str">
        <f>IF(Table1[[#This Row],[Revenue (₹)  ← add]]&gt;=15000,"High Value",IF(Table1[[#This Row],[Revenue (₹)  ← add]]&gt;=5000,"Medium","Low"))</f>
        <v>Low</v>
      </c>
      <c r="Q137">
        <f>VLOOKUP(Table1[[#This Row],[Product]],Table2[],4,FALSE)</f>
        <v>300</v>
      </c>
      <c r="R137">
        <f>Table1[[#This Row],[Revenue (₹)  ← add]]-Table1[[#This Row],[Cost Price  ← add]]</f>
        <v>2395.5</v>
      </c>
      <c r="S137">
        <f>IF(C137="", "",Table1[[#This Row],[Delivery Date]]-Table1[[#This Row],[Order Date]])</f>
        <v>9</v>
      </c>
      <c r="T137" t="str">
        <f>TEXT(Table1[[#This Row],[Order Date]],"DDDD")</f>
        <v>Friday</v>
      </c>
    </row>
    <row r="138" spans="1:20" x14ac:dyDescent="0.3">
      <c r="A138" s="2" t="s">
        <v>372</v>
      </c>
      <c r="B138" s="10">
        <v>45871</v>
      </c>
      <c r="C138" s="10">
        <v>45876</v>
      </c>
      <c r="D138" s="2" t="s">
        <v>205</v>
      </c>
      <c r="E138" s="2" t="s">
        <v>227</v>
      </c>
      <c r="F138" s="2" t="s">
        <v>211</v>
      </c>
      <c r="G138" s="2" t="s">
        <v>192</v>
      </c>
      <c r="H138" s="2" t="s">
        <v>193</v>
      </c>
      <c r="I138" s="2">
        <v>10</v>
      </c>
      <c r="J138" s="11">
        <v>249</v>
      </c>
      <c r="K138" s="12">
        <v>0.1</v>
      </c>
      <c r="L138" s="2" t="s">
        <v>229</v>
      </c>
      <c r="M138" s="2" t="s">
        <v>195</v>
      </c>
      <c r="N138">
        <f>Table1[[#This Row],[Quantity]]*Table1[[#This Row],[Unit Price (₹)]]*(1-Table1[[#This Row],[Discount %]])</f>
        <v>2241</v>
      </c>
      <c r="O138" t="str">
        <f>TEXT(Table1[[#This Row],[Order Date]],"mmmm")</f>
        <v>August</v>
      </c>
      <c r="P138" t="str">
        <f>IF(Table1[[#This Row],[Revenue (₹)  ← add]]&gt;=15000,"High Value",IF(Table1[[#This Row],[Revenue (₹)  ← add]]&gt;=5000,"Medium","Low"))</f>
        <v>Low</v>
      </c>
      <c r="Q138">
        <f>VLOOKUP(Table1[[#This Row],[Product]],Table2[],4,FALSE)</f>
        <v>120</v>
      </c>
      <c r="R138">
        <f>Table1[[#This Row],[Revenue (₹)  ← add]]-Table1[[#This Row],[Cost Price  ← add]]</f>
        <v>2121</v>
      </c>
      <c r="S138">
        <f>IF(C138="", "",Table1[[#This Row],[Delivery Date]]-Table1[[#This Row],[Order Date]])</f>
        <v>5</v>
      </c>
      <c r="T138" t="str">
        <f>TEXT(Table1[[#This Row],[Order Date]],"DDDD")</f>
        <v>Saturday</v>
      </c>
    </row>
    <row r="139" spans="1:20" x14ac:dyDescent="0.3">
      <c r="A139" s="2" t="s">
        <v>373</v>
      </c>
      <c r="B139" s="10">
        <v>45871</v>
      </c>
      <c r="C139" s="10">
        <v>45874</v>
      </c>
      <c r="D139" s="2" t="s">
        <v>205</v>
      </c>
      <c r="E139" s="2" t="s">
        <v>206</v>
      </c>
      <c r="F139" s="2" t="s">
        <v>211</v>
      </c>
      <c r="G139" s="2" t="s">
        <v>217</v>
      </c>
      <c r="H139" s="2" t="s">
        <v>236</v>
      </c>
      <c r="I139" s="2">
        <v>4</v>
      </c>
      <c r="J139" s="11">
        <v>2499</v>
      </c>
      <c r="K139" s="12">
        <v>0</v>
      </c>
      <c r="L139" s="2" t="s">
        <v>229</v>
      </c>
      <c r="M139" s="2" t="s">
        <v>195</v>
      </c>
      <c r="N139">
        <f>Table1[[#This Row],[Quantity]]*Table1[[#This Row],[Unit Price (₹)]]*(1-Table1[[#This Row],[Discount %]])</f>
        <v>9996</v>
      </c>
      <c r="O139" t="str">
        <f>TEXT(Table1[[#This Row],[Order Date]],"mmmm")</f>
        <v>August</v>
      </c>
      <c r="P139" t="str">
        <f>IF(Table1[[#This Row],[Revenue (₹)  ← add]]&gt;=15000,"High Value",IF(Table1[[#This Row],[Revenue (₹)  ← add]]&gt;=5000,"Medium","Low"))</f>
        <v>Medium</v>
      </c>
      <c r="Q139">
        <f>VLOOKUP(Table1[[#This Row],[Product]],Table2[],4,FALSE)</f>
        <v>1500</v>
      </c>
      <c r="R139">
        <f>Table1[[#This Row],[Revenue (₹)  ← add]]-Table1[[#This Row],[Cost Price  ← add]]</f>
        <v>8496</v>
      </c>
      <c r="S139">
        <f>IF(C139="", "",Table1[[#This Row],[Delivery Date]]-Table1[[#This Row],[Order Date]])</f>
        <v>3</v>
      </c>
      <c r="T139" t="str">
        <f>TEXT(Table1[[#This Row],[Order Date]],"DDDD")</f>
        <v>Saturday</v>
      </c>
    </row>
    <row r="140" spans="1:20" x14ac:dyDescent="0.3">
      <c r="A140" s="2" t="s">
        <v>374</v>
      </c>
      <c r="B140" s="10">
        <v>45872</v>
      </c>
      <c r="C140" s="10">
        <v>45874</v>
      </c>
      <c r="D140" s="2" t="s">
        <v>238</v>
      </c>
      <c r="E140" s="2" t="s">
        <v>239</v>
      </c>
      <c r="F140" s="2" t="s">
        <v>240</v>
      </c>
      <c r="G140" s="2" t="s">
        <v>217</v>
      </c>
      <c r="H140" s="2" t="s">
        <v>236</v>
      </c>
      <c r="I140" s="2">
        <v>6</v>
      </c>
      <c r="J140" s="11">
        <v>2499</v>
      </c>
      <c r="K140" s="12">
        <v>0.15</v>
      </c>
      <c r="L140" s="2" t="s">
        <v>203</v>
      </c>
      <c r="M140" s="2" t="s">
        <v>195</v>
      </c>
      <c r="N140">
        <f>Table1[[#This Row],[Quantity]]*Table1[[#This Row],[Unit Price (₹)]]*(1-Table1[[#This Row],[Discount %]])</f>
        <v>12744.9</v>
      </c>
      <c r="O140" t="str">
        <f>TEXT(Table1[[#This Row],[Order Date]],"mmmm")</f>
        <v>August</v>
      </c>
      <c r="P140" t="str">
        <f>IF(Table1[[#This Row],[Revenue (₹)  ← add]]&gt;=15000,"High Value",IF(Table1[[#This Row],[Revenue (₹)  ← add]]&gt;=5000,"Medium","Low"))</f>
        <v>Medium</v>
      </c>
      <c r="Q140">
        <f>VLOOKUP(Table1[[#This Row],[Product]],Table2[],4,FALSE)</f>
        <v>1500</v>
      </c>
      <c r="R140">
        <f>Table1[[#This Row],[Revenue (₹)  ← add]]-Table1[[#This Row],[Cost Price  ← add]]</f>
        <v>11244.9</v>
      </c>
      <c r="S140">
        <f>IF(C140="", "",Table1[[#This Row],[Delivery Date]]-Table1[[#This Row],[Order Date]])</f>
        <v>2</v>
      </c>
      <c r="T140" t="str">
        <f>TEXT(Table1[[#This Row],[Order Date]],"DDDD")</f>
        <v>Sunday</v>
      </c>
    </row>
    <row r="141" spans="1:20" x14ac:dyDescent="0.3">
      <c r="A141" s="2" t="s">
        <v>375</v>
      </c>
      <c r="B141" s="10">
        <v>45874</v>
      </c>
      <c r="C141" s="10">
        <v>45881</v>
      </c>
      <c r="D141" s="2" t="s">
        <v>205</v>
      </c>
      <c r="E141" s="2" t="s">
        <v>227</v>
      </c>
      <c r="F141" s="2" t="s">
        <v>207</v>
      </c>
      <c r="G141" s="2" t="s">
        <v>217</v>
      </c>
      <c r="H141" s="2" t="s">
        <v>255</v>
      </c>
      <c r="I141" s="2">
        <v>1</v>
      </c>
      <c r="J141" s="11">
        <v>1999</v>
      </c>
      <c r="K141" s="12">
        <v>0.1</v>
      </c>
      <c r="L141" s="2" t="s">
        <v>194</v>
      </c>
      <c r="M141" s="2" t="s">
        <v>195</v>
      </c>
      <c r="N141">
        <f>Table1[[#This Row],[Quantity]]*Table1[[#This Row],[Unit Price (₹)]]*(1-Table1[[#This Row],[Discount %]])</f>
        <v>1799.1000000000001</v>
      </c>
      <c r="O141" t="str">
        <f>TEXT(Table1[[#This Row],[Order Date]],"mmmm")</f>
        <v>August</v>
      </c>
      <c r="P141" t="str">
        <f>IF(Table1[[#This Row],[Revenue (₹)  ← add]]&gt;=15000,"High Value",IF(Table1[[#This Row],[Revenue (₹)  ← add]]&gt;=5000,"Medium","Low"))</f>
        <v>Low</v>
      </c>
      <c r="Q141">
        <f>VLOOKUP(Table1[[#This Row],[Product]],Table2[],4,FALSE)</f>
        <v>1100</v>
      </c>
      <c r="R141">
        <f>Table1[[#This Row],[Revenue (₹)  ← add]]-Table1[[#This Row],[Cost Price  ← add]]</f>
        <v>699.10000000000014</v>
      </c>
      <c r="S141">
        <f>IF(C141="", "",Table1[[#This Row],[Delivery Date]]-Table1[[#This Row],[Order Date]])</f>
        <v>7</v>
      </c>
      <c r="T141" t="str">
        <f>TEXT(Table1[[#This Row],[Order Date]],"DDDD")</f>
        <v>Tuesday</v>
      </c>
    </row>
    <row r="142" spans="1:20" x14ac:dyDescent="0.3">
      <c r="A142" s="2" t="s">
        <v>376</v>
      </c>
      <c r="B142" s="10">
        <v>45876</v>
      </c>
      <c r="C142" s="10">
        <v>45879</v>
      </c>
      <c r="D142" s="2" t="s">
        <v>189</v>
      </c>
      <c r="E142" s="2" t="s">
        <v>197</v>
      </c>
      <c r="F142" s="2" t="s">
        <v>191</v>
      </c>
      <c r="G142" s="2" t="s">
        <v>201</v>
      </c>
      <c r="H142" s="2" t="s">
        <v>314</v>
      </c>
      <c r="I142" s="2">
        <v>2</v>
      </c>
      <c r="J142" s="11">
        <v>6999</v>
      </c>
      <c r="K142" s="12">
        <v>0</v>
      </c>
      <c r="L142" s="2" t="s">
        <v>194</v>
      </c>
      <c r="M142" s="2" t="s">
        <v>195</v>
      </c>
      <c r="N142">
        <f>Table1[[#This Row],[Quantity]]*Table1[[#This Row],[Unit Price (₹)]]*(1-Table1[[#This Row],[Discount %]])</f>
        <v>13998</v>
      </c>
      <c r="O142" t="str">
        <f>TEXT(Table1[[#This Row],[Order Date]],"mmmm")</f>
        <v>August</v>
      </c>
      <c r="P142" t="str">
        <f>IF(Table1[[#This Row],[Revenue (₹)  ← add]]&gt;=15000,"High Value",IF(Table1[[#This Row],[Revenue (₹)  ← add]]&gt;=5000,"Medium","Low"))</f>
        <v>Medium</v>
      </c>
      <c r="Q142">
        <f>VLOOKUP(Table1[[#This Row],[Product]],Table2[],4,FALSE)</f>
        <v>4200</v>
      </c>
      <c r="R142">
        <f>Table1[[#This Row],[Revenue (₹)  ← add]]-Table1[[#This Row],[Cost Price  ← add]]</f>
        <v>9798</v>
      </c>
      <c r="S142">
        <f>IF(C142="", "",Table1[[#This Row],[Delivery Date]]-Table1[[#This Row],[Order Date]])</f>
        <v>3</v>
      </c>
      <c r="T142" t="str">
        <f>TEXT(Table1[[#This Row],[Order Date]],"DDDD")</f>
        <v>Thursday</v>
      </c>
    </row>
    <row r="143" spans="1:20" x14ac:dyDescent="0.3">
      <c r="A143" s="2" t="s">
        <v>377</v>
      </c>
      <c r="B143" s="10">
        <v>45879</v>
      </c>
      <c r="C143" s="10">
        <v>45883</v>
      </c>
      <c r="D143" s="2" t="s">
        <v>238</v>
      </c>
      <c r="E143" s="2" t="s">
        <v>239</v>
      </c>
      <c r="F143" s="2" t="s">
        <v>240</v>
      </c>
      <c r="G143" s="2" t="s">
        <v>217</v>
      </c>
      <c r="H143" s="2" t="s">
        <v>236</v>
      </c>
      <c r="I143" s="2">
        <v>1</v>
      </c>
      <c r="J143" s="11">
        <v>2499</v>
      </c>
      <c r="K143" s="12">
        <v>0.05</v>
      </c>
      <c r="L143" s="2" t="s">
        <v>229</v>
      </c>
      <c r="M143" s="2" t="s">
        <v>195</v>
      </c>
      <c r="N143">
        <f>Table1[[#This Row],[Quantity]]*Table1[[#This Row],[Unit Price (₹)]]*(1-Table1[[#This Row],[Discount %]])</f>
        <v>2374.0499999999997</v>
      </c>
      <c r="O143" t="str">
        <f>TEXT(Table1[[#This Row],[Order Date]],"mmmm")</f>
        <v>August</v>
      </c>
      <c r="P143" t="str">
        <f>IF(Table1[[#This Row],[Revenue (₹)  ← add]]&gt;=15000,"High Value",IF(Table1[[#This Row],[Revenue (₹)  ← add]]&gt;=5000,"Medium","Low"))</f>
        <v>Low</v>
      </c>
      <c r="Q143">
        <f>VLOOKUP(Table1[[#This Row],[Product]],Table2[],4,FALSE)</f>
        <v>1500</v>
      </c>
      <c r="R143">
        <f>Table1[[#This Row],[Revenue (₹)  ← add]]-Table1[[#This Row],[Cost Price  ← add]]</f>
        <v>874.04999999999973</v>
      </c>
      <c r="S143">
        <f>IF(C143="", "",Table1[[#This Row],[Delivery Date]]-Table1[[#This Row],[Order Date]])</f>
        <v>4</v>
      </c>
      <c r="T143" t="str">
        <f>TEXT(Table1[[#This Row],[Order Date]],"DDDD")</f>
        <v>Sunday</v>
      </c>
    </row>
    <row r="144" spans="1:20" x14ac:dyDescent="0.3">
      <c r="A144" s="2" t="s">
        <v>378</v>
      </c>
      <c r="B144" s="10">
        <v>45881</v>
      </c>
      <c r="C144" s="10">
        <v>45890</v>
      </c>
      <c r="D144" s="2" t="s">
        <v>205</v>
      </c>
      <c r="E144" s="2" t="s">
        <v>227</v>
      </c>
      <c r="F144" s="2" t="s">
        <v>207</v>
      </c>
      <c r="G144" s="2" t="s">
        <v>198</v>
      </c>
      <c r="H144" s="2" t="s">
        <v>199</v>
      </c>
      <c r="I144" s="2">
        <v>4</v>
      </c>
      <c r="J144" s="11">
        <v>2999</v>
      </c>
      <c r="K144" s="12">
        <v>0.2</v>
      </c>
      <c r="L144" s="2" t="s">
        <v>225</v>
      </c>
      <c r="M144" s="2" t="s">
        <v>195</v>
      </c>
      <c r="N144">
        <f>Table1[[#This Row],[Quantity]]*Table1[[#This Row],[Unit Price (₹)]]*(1-Table1[[#This Row],[Discount %]])</f>
        <v>9596.8000000000011</v>
      </c>
      <c r="O144" t="str">
        <f>TEXT(Table1[[#This Row],[Order Date]],"mmmm")</f>
        <v>August</v>
      </c>
      <c r="P144" t="str">
        <f>IF(Table1[[#This Row],[Revenue (₹)  ← add]]&gt;=15000,"High Value",IF(Table1[[#This Row],[Revenue (₹)  ← add]]&gt;=5000,"Medium","Low"))</f>
        <v>Medium</v>
      </c>
      <c r="Q144">
        <f>VLOOKUP(Table1[[#This Row],[Product]],Table2[],4,FALSE)</f>
        <v>1700</v>
      </c>
      <c r="R144">
        <f>Table1[[#This Row],[Revenue (₹)  ← add]]-Table1[[#This Row],[Cost Price  ← add]]</f>
        <v>7896.8000000000011</v>
      </c>
      <c r="S144">
        <f>IF(C144="", "",Table1[[#This Row],[Delivery Date]]-Table1[[#This Row],[Order Date]])</f>
        <v>9</v>
      </c>
      <c r="T144" t="str">
        <f>TEXT(Table1[[#This Row],[Order Date]],"DDDD")</f>
        <v>Tuesday</v>
      </c>
    </row>
    <row r="145" spans="1:20" x14ac:dyDescent="0.3">
      <c r="A145" s="2" t="s">
        <v>379</v>
      </c>
      <c r="B145" s="10">
        <v>45881</v>
      </c>
      <c r="C145" s="10">
        <v>45887</v>
      </c>
      <c r="D145" s="2" t="s">
        <v>189</v>
      </c>
      <c r="E145" s="2" t="s">
        <v>190</v>
      </c>
      <c r="F145" s="2" t="s">
        <v>191</v>
      </c>
      <c r="G145" s="2" t="s">
        <v>201</v>
      </c>
      <c r="H145" s="2" t="s">
        <v>250</v>
      </c>
      <c r="I145" s="2">
        <v>2</v>
      </c>
      <c r="J145" s="11">
        <v>5499</v>
      </c>
      <c r="K145" s="12">
        <v>0.15</v>
      </c>
      <c r="L145" s="2" t="s">
        <v>194</v>
      </c>
      <c r="M145" s="2" t="s">
        <v>195</v>
      </c>
      <c r="N145">
        <f>Table1[[#This Row],[Quantity]]*Table1[[#This Row],[Unit Price (₹)]]*(1-Table1[[#This Row],[Discount %]])</f>
        <v>9348.2999999999993</v>
      </c>
      <c r="O145" t="str">
        <f>TEXT(Table1[[#This Row],[Order Date]],"mmmm")</f>
        <v>August</v>
      </c>
      <c r="P145" t="str">
        <f>IF(Table1[[#This Row],[Revenue (₹)  ← add]]&gt;=15000,"High Value",IF(Table1[[#This Row],[Revenue (₹)  ← add]]&gt;=5000,"Medium","Low"))</f>
        <v>Medium</v>
      </c>
      <c r="Q145">
        <f>VLOOKUP(Table1[[#This Row],[Product]],Table2[],4,FALSE)</f>
        <v>3300</v>
      </c>
      <c r="R145">
        <f>Table1[[#This Row],[Revenue (₹)  ← add]]-Table1[[#This Row],[Cost Price  ← add]]</f>
        <v>6048.2999999999993</v>
      </c>
      <c r="S145">
        <f>IF(C145="", "",Table1[[#This Row],[Delivery Date]]-Table1[[#This Row],[Order Date]])</f>
        <v>6</v>
      </c>
      <c r="T145" t="str">
        <f>TEXT(Table1[[#This Row],[Order Date]],"DDDD")</f>
        <v>Tuesday</v>
      </c>
    </row>
    <row r="146" spans="1:20" x14ac:dyDescent="0.3">
      <c r="A146" s="2" t="s">
        <v>380</v>
      </c>
      <c r="B146" s="10">
        <v>45886</v>
      </c>
      <c r="C146" s="10">
        <v>45890</v>
      </c>
      <c r="D146" s="2" t="s">
        <v>205</v>
      </c>
      <c r="E146" s="2" t="s">
        <v>227</v>
      </c>
      <c r="F146" s="2" t="s">
        <v>211</v>
      </c>
      <c r="G146" s="2" t="s">
        <v>201</v>
      </c>
      <c r="H146" s="2" t="s">
        <v>250</v>
      </c>
      <c r="I146" s="2">
        <v>3</v>
      </c>
      <c r="J146" s="11">
        <v>5499</v>
      </c>
      <c r="K146" s="12">
        <v>0.1</v>
      </c>
      <c r="L146" s="2" t="s">
        <v>203</v>
      </c>
      <c r="M146" s="2" t="s">
        <v>195</v>
      </c>
      <c r="N146">
        <f>Table1[[#This Row],[Quantity]]*Table1[[#This Row],[Unit Price (₹)]]*(1-Table1[[#This Row],[Discount %]])</f>
        <v>14847.300000000001</v>
      </c>
      <c r="O146" t="str">
        <f>TEXT(Table1[[#This Row],[Order Date]],"mmmm")</f>
        <v>August</v>
      </c>
      <c r="P146" t="str">
        <f>IF(Table1[[#This Row],[Revenue (₹)  ← add]]&gt;=15000,"High Value",IF(Table1[[#This Row],[Revenue (₹)  ← add]]&gt;=5000,"Medium","Low"))</f>
        <v>Medium</v>
      </c>
      <c r="Q146">
        <f>VLOOKUP(Table1[[#This Row],[Product]],Table2[],4,FALSE)</f>
        <v>3300</v>
      </c>
      <c r="R146">
        <f>Table1[[#This Row],[Revenue (₹)  ← add]]-Table1[[#This Row],[Cost Price  ← add]]</f>
        <v>11547.300000000001</v>
      </c>
      <c r="S146">
        <f>IF(C146="", "",Table1[[#This Row],[Delivery Date]]-Table1[[#This Row],[Order Date]])</f>
        <v>4</v>
      </c>
      <c r="T146" t="str">
        <f>TEXT(Table1[[#This Row],[Order Date]],"DDDD")</f>
        <v>Sunday</v>
      </c>
    </row>
    <row r="147" spans="1:20" x14ac:dyDescent="0.3">
      <c r="A147" s="2" t="s">
        <v>381</v>
      </c>
      <c r="B147" s="10">
        <v>45887</v>
      </c>
      <c r="C147" s="10">
        <v>45896</v>
      </c>
      <c r="D147" s="2" t="s">
        <v>205</v>
      </c>
      <c r="E147" s="2" t="s">
        <v>227</v>
      </c>
      <c r="F147" s="2" t="s">
        <v>211</v>
      </c>
      <c r="G147" s="2" t="s">
        <v>192</v>
      </c>
      <c r="H147" s="2" t="s">
        <v>193</v>
      </c>
      <c r="I147" s="2">
        <v>19</v>
      </c>
      <c r="J147" s="11">
        <v>249</v>
      </c>
      <c r="K147" s="12">
        <v>0</v>
      </c>
      <c r="L147" s="2" t="s">
        <v>225</v>
      </c>
      <c r="M147" s="2" t="s">
        <v>195</v>
      </c>
      <c r="N147">
        <f>Table1[[#This Row],[Quantity]]*Table1[[#This Row],[Unit Price (₹)]]*(1-Table1[[#This Row],[Discount %]])</f>
        <v>4731</v>
      </c>
      <c r="O147" t="str">
        <f>TEXT(Table1[[#This Row],[Order Date]],"mmmm")</f>
        <v>August</v>
      </c>
      <c r="P147" t="str">
        <f>IF(Table1[[#This Row],[Revenue (₹)  ← add]]&gt;=15000,"High Value",IF(Table1[[#This Row],[Revenue (₹)  ← add]]&gt;=5000,"Medium","Low"))</f>
        <v>Low</v>
      </c>
      <c r="Q147">
        <f>VLOOKUP(Table1[[#This Row],[Product]],Table2[],4,FALSE)</f>
        <v>120</v>
      </c>
      <c r="R147">
        <f>Table1[[#This Row],[Revenue (₹)  ← add]]-Table1[[#This Row],[Cost Price  ← add]]</f>
        <v>4611</v>
      </c>
      <c r="S147">
        <f>IF(C147="", "",Table1[[#This Row],[Delivery Date]]-Table1[[#This Row],[Order Date]])</f>
        <v>9</v>
      </c>
      <c r="T147" t="str">
        <f>TEXT(Table1[[#This Row],[Order Date]],"DDDD")</f>
        <v>Monday</v>
      </c>
    </row>
    <row r="148" spans="1:20" x14ac:dyDescent="0.3">
      <c r="A148" s="2" t="s">
        <v>382</v>
      </c>
      <c r="B148" s="10">
        <v>45887</v>
      </c>
      <c r="C148" s="10">
        <v>45890</v>
      </c>
      <c r="D148" s="2" t="s">
        <v>205</v>
      </c>
      <c r="E148" s="2" t="s">
        <v>206</v>
      </c>
      <c r="F148" s="2" t="s">
        <v>211</v>
      </c>
      <c r="G148" s="2" t="s">
        <v>217</v>
      </c>
      <c r="H148" s="2" t="s">
        <v>255</v>
      </c>
      <c r="I148" s="2">
        <v>2</v>
      </c>
      <c r="J148" s="11">
        <v>1999</v>
      </c>
      <c r="K148" s="12">
        <v>0.1</v>
      </c>
      <c r="L148" s="2" t="s">
        <v>203</v>
      </c>
      <c r="M148" s="2" t="s">
        <v>195</v>
      </c>
      <c r="N148">
        <f>Table1[[#This Row],[Quantity]]*Table1[[#This Row],[Unit Price (₹)]]*(1-Table1[[#This Row],[Discount %]])</f>
        <v>3598.2000000000003</v>
      </c>
      <c r="O148" t="str">
        <f>TEXT(Table1[[#This Row],[Order Date]],"mmmm")</f>
        <v>August</v>
      </c>
      <c r="P148" t="str">
        <f>IF(Table1[[#This Row],[Revenue (₹)  ← add]]&gt;=15000,"High Value",IF(Table1[[#This Row],[Revenue (₹)  ← add]]&gt;=5000,"Medium","Low"))</f>
        <v>Low</v>
      </c>
      <c r="Q148">
        <f>VLOOKUP(Table1[[#This Row],[Product]],Table2[],4,FALSE)</f>
        <v>1100</v>
      </c>
      <c r="R148">
        <f>Table1[[#This Row],[Revenue (₹)  ← add]]-Table1[[#This Row],[Cost Price  ← add]]</f>
        <v>2498.2000000000003</v>
      </c>
      <c r="S148">
        <f>IF(C148="", "",Table1[[#This Row],[Delivery Date]]-Table1[[#This Row],[Order Date]])</f>
        <v>3</v>
      </c>
      <c r="T148" t="str">
        <f>TEXT(Table1[[#This Row],[Order Date]],"DDDD")</f>
        <v>Monday</v>
      </c>
    </row>
    <row r="149" spans="1:20" x14ac:dyDescent="0.3">
      <c r="A149" s="2" t="s">
        <v>383</v>
      </c>
      <c r="B149" s="10">
        <v>45893</v>
      </c>
      <c r="C149" s="10">
        <v>45900</v>
      </c>
      <c r="D149" s="2" t="s">
        <v>205</v>
      </c>
      <c r="E149" s="2" t="s">
        <v>210</v>
      </c>
      <c r="F149" s="2" t="s">
        <v>207</v>
      </c>
      <c r="G149" s="2" t="s">
        <v>192</v>
      </c>
      <c r="H149" s="2" t="s">
        <v>247</v>
      </c>
      <c r="I149" s="2">
        <v>24</v>
      </c>
      <c r="J149" s="11">
        <v>349</v>
      </c>
      <c r="K149" s="12">
        <v>0.15</v>
      </c>
      <c r="L149" s="2" t="s">
        <v>214</v>
      </c>
      <c r="M149" s="2" t="s">
        <v>195</v>
      </c>
      <c r="N149">
        <f>Table1[[#This Row],[Quantity]]*Table1[[#This Row],[Unit Price (₹)]]*(1-Table1[[#This Row],[Discount %]])</f>
        <v>7119.5999999999995</v>
      </c>
      <c r="O149" t="str">
        <f>TEXT(Table1[[#This Row],[Order Date]],"mmmm")</f>
        <v>August</v>
      </c>
      <c r="P149" t="str">
        <f>IF(Table1[[#This Row],[Revenue (₹)  ← add]]&gt;=15000,"High Value",IF(Table1[[#This Row],[Revenue (₹)  ← add]]&gt;=5000,"Medium","Low"))</f>
        <v>Medium</v>
      </c>
      <c r="Q149">
        <f>VLOOKUP(Table1[[#This Row],[Product]],Table2[],4,FALSE)</f>
        <v>180</v>
      </c>
      <c r="R149">
        <f>Table1[[#This Row],[Revenue (₹)  ← add]]-Table1[[#This Row],[Cost Price  ← add]]</f>
        <v>6939.5999999999995</v>
      </c>
      <c r="S149">
        <f>IF(C149="", "",Table1[[#This Row],[Delivery Date]]-Table1[[#This Row],[Order Date]])</f>
        <v>7</v>
      </c>
      <c r="T149" t="str">
        <f>TEXT(Table1[[#This Row],[Order Date]],"DDDD")</f>
        <v>Sunday</v>
      </c>
    </row>
    <row r="150" spans="1:20" x14ac:dyDescent="0.3">
      <c r="A150" s="2" t="s">
        <v>384</v>
      </c>
      <c r="B150" s="10">
        <v>45895</v>
      </c>
      <c r="C150" s="10">
        <v>45903</v>
      </c>
      <c r="D150" s="2" t="s">
        <v>222</v>
      </c>
      <c r="E150" s="2" t="s">
        <v>223</v>
      </c>
      <c r="F150" s="2" t="s">
        <v>249</v>
      </c>
      <c r="G150" s="2" t="s">
        <v>217</v>
      </c>
      <c r="H150" s="2" t="s">
        <v>218</v>
      </c>
      <c r="I150" s="2">
        <v>2</v>
      </c>
      <c r="J150" s="11">
        <v>1499</v>
      </c>
      <c r="K150" s="12">
        <v>0</v>
      </c>
      <c r="L150" s="2" t="s">
        <v>225</v>
      </c>
      <c r="M150" s="2" t="s">
        <v>195</v>
      </c>
      <c r="N150">
        <f>Table1[[#This Row],[Quantity]]*Table1[[#This Row],[Unit Price (₹)]]*(1-Table1[[#This Row],[Discount %]])</f>
        <v>2998</v>
      </c>
      <c r="O150" t="str">
        <f>TEXT(Table1[[#This Row],[Order Date]],"mmmm")</f>
        <v>August</v>
      </c>
      <c r="P150" t="str">
        <f>IF(Table1[[#This Row],[Revenue (₹)  ← add]]&gt;=15000,"High Value",IF(Table1[[#This Row],[Revenue (₹)  ← add]]&gt;=5000,"Medium","Low"))</f>
        <v>Low</v>
      </c>
      <c r="Q150">
        <f>VLOOKUP(Table1[[#This Row],[Product]],Table2[],4,FALSE)</f>
        <v>850</v>
      </c>
      <c r="R150">
        <f>Table1[[#This Row],[Revenue (₹)  ← add]]-Table1[[#This Row],[Cost Price  ← add]]</f>
        <v>2148</v>
      </c>
      <c r="S150">
        <f>IF(C150="", "",Table1[[#This Row],[Delivery Date]]-Table1[[#This Row],[Order Date]])</f>
        <v>8</v>
      </c>
      <c r="T150" t="str">
        <f>TEXT(Table1[[#This Row],[Order Date]],"DDDD")</f>
        <v>Tuesday</v>
      </c>
    </row>
    <row r="151" spans="1:20" x14ac:dyDescent="0.3">
      <c r="A151" s="2" t="s">
        <v>385</v>
      </c>
      <c r="B151" s="10">
        <v>45896</v>
      </c>
      <c r="C151" s="10">
        <v>45904</v>
      </c>
      <c r="D151" s="2" t="s">
        <v>205</v>
      </c>
      <c r="E151" s="2" t="s">
        <v>210</v>
      </c>
      <c r="F151" s="2" t="s">
        <v>207</v>
      </c>
      <c r="G151" s="2" t="s">
        <v>217</v>
      </c>
      <c r="H151" s="2" t="s">
        <v>255</v>
      </c>
      <c r="I151" s="2">
        <v>3</v>
      </c>
      <c r="J151" s="11">
        <v>1999</v>
      </c>
      <c r="K151" s="12">
        <v>0</v>
      </c>
      <c r="L151" s="2" t="s">
        <v>214</v>
      </c>
      <c r="M151" s="2" t="s">
        <v>195</v>
      </c>
      <c r="N151">
        <f>Table1[[#This Row],[Quantity]]*Table1[[#This Row],[Unit Price (₹)]]*(1-Table1[[#This Row],[Discount %]])</f>
        <v>5997</v>
      </c>
      <c r="O151" t="str">
        <f>TEXT(Table1[[#This Row],[Order Date]],"mmmm")</f>
        <v>August</v>
      </c>
      <c r="P151" t="str">
        <f>IF(Table1[[#This Row],[Revenue (₹)  ← add]]&gt;=15000,"High Value",IF(Table1[[#This Row],[Revenue (₹)  ← add]]&gt;=5000,"Medium","Low"))</f>
        <v>Medium</v>
      </c>
      <c r="Q151">
        <f>VLOOKUP(Table1[[#This Row],[Product]],Table2[],4,FALSE)</f>
        <v>1100</v>
      </c>
      <c r="R151">
        <f>Table1[[#This Row],[Revenue (₹)  ← add]]-Table1[[#This Row],[Cost Price  ← add]]</f>
        <v>4897</v>
      </c>
      <c r="S151">
        <f>IF(C151="", "",Table1[[#This Row],[Delivery Date]]-Table1[[#This Row],[Order Date]])</f>
        <v>8</v>
      </c>
      <c r="T151" t="str">
        <f>TEXT(Table1[[#This Row],[Order Date]],"DDDD")</f>
        <v>Wednesday</v>
      </c>
    </row>
    <row r="152" spans="1:20" x14ac:dyDescent="0.3">
      <c r="A152" s="2" t="s">
        <v>386</v>
      </c>
      <c r="B152" s="10">
        <v>45897</v>
      </c>
      <c r="C152" s="10">
        <v>45905</v>
      </c>
      <c r="D152" s="2" t="s">
        <v>189</v>
      </c>
      <c r="E152" s="2" t="s">
        <v>190</v>
      </c>
      <c r="F152" s="2" t="s">
        <v>191</v>
      </c>
      <c r="G152" s="2" t="s">
        <v>198</v>
      </c>
      <c r="H152" s="2" t="s">
        <v>199</v>
      </c>
      <c r="I152" s="2">
        <v>1</v>
      </c>
      <c r="J152" s="11">
        <v>2999</v>
      </c>
      <c r="K152" s="12">
        <v>0.2</v>
      </c>
      <c r="L152" s="2" t="s">
        <v>203</v>
      </c>
      <c r="M152" s="2" t="s">
        <v>195</v>
      </c>
      <c r="N152">
        <f>Table1[[#This Row],[Quantity]]*Table1[[#This Row],[Unit Price (₹)]]*(1-Table1[[#This Row],[Discount %]])</f>
        <v>2399.2000000000003</v>
      </c>
      <c r="O152" t="str">
        <f>TEXT(Table1[[#This Row],[Order Date]],"mmmm")</f>
        <v>August</v>
      </c>
      <c r="P152" t="str">
        <f>IF(Table1[[#This Row],[Revenue (₹)  ← add]]&gt;=15000,"High Value",IF(Table1[[#This Row],[Revenue (₹)  ← add]]&gt;=5000,"Medium","Low"))</f>
        <v>Low</v>
      </c>
      <c r="Q152">
        <f>VLOOKUP(Table1[[#This Row],[Product]],Table2[],4,FALSE)</f>
        <v>1700</v>
      </c>
      <c r="R152">
        <f>Table1[[#This Row],[Revenue (₹)  ← add]]-Table1[[#This Row],[Cost Price  ← add]]</f>
        <v>699.20000000000027</v>
      </c>
      <c r="S152">
        <f>IF(C152="", "",Table1[[#This Row],[Delivery Date]]-Table1[[#This Row],[Order Date]])</f>
        <v>8</v>
      </c>
      <c r="T152" t="str">
        <f>TEXT(Table1[[#This Row],[Order Date]],"DDDD")</f>
        <v>Thursday</v>
      </c>
    </row>
    <row r="153" spans="1:20" x14ac:dyDescent="0.3">
      <c r="A153" s="2" t="s">
        <v>387</v>
      </c>
      <c r="B153" s="10">
        <v>45897</v>
      </c>
      <c r="C153" s="10">
        <v>45902</v>
      </c>
      <c r="D153" s="2" t="s">
        <v>189</v>
      </c>
      <c r="E153" s="2" t="s">
        <v>277</v>
      </c>
      <c r="F153" s="2" t="s">
        <v>191</v>
      </c>
      <c r="G153" s="2" t="s">
        <v>201</v>
      </c>
      <c r="H153" s="2" t="s">
        <v>314</v>
      </c>
      <c r="I153" s="2">
        <v>2</v>
      </c>
      <c r="J153" s="11">
        <v>6999</v>
      </c>
      <c r="K153" s="12">
        <v>0.15</v>
      </c>
      <c r="L153" s="2" t="s">
        <v>194</v>
      </c>
      <c r="M153" s="2" t="s">
        <v>195</v>
      </c>
      <c r="N153">
        <f>Table1[[#This Row],[Quantity]]*Table1[[#This Row],[Unit Price (₹)]]*(1-Table1[[#This Row],[Discount %]])</f>
        <v>11898.3</v>
      </c>
      <c r="O153" t="str">
        <f>TEXT(Table1[[#This Row],[Order Date]],"mmmm")</f>
        <v>August</v>
      </c>
      <c r="P153" t="str">
        <f>IF(Table1[[#This Row],[Revenue (₹)  ← add]]&gt;=15000,"High Value",IF(Table1[[#This Row],[Revenue (₹)  ← add]]&gt;=5000,"Medium","Low"))</f>
        <v>Medium</v>
      </c>
      <c r="Q153">
        <f>VLOOKUP(Table1[[#This Row],[Product]],Table2[],4,FALSE)</f>
        <v>4200</v>
      </c>
      <c r="R153">
        <f>Table1[[#This Row],[Revenue (₹)  ← add]]-Table1[[#This Row],[Cost Price  ← add]]</f>
        <v>7698.2999999999993</v>
      </c>
      <c r="S153">
        <f>IF(C153="", "",Table1[[#This Row],[Delivery Date]]-Table1[[#This Row],[Order Date]])</f>
        <v>5</v>
      </c>
      <c r="T153" t="str">
        <f>TEXT(Table1[[#This Row],[Order Date]],"DDDD")</f>
        <v>Thursday</v>
      </c>
    </row>
    <row r="154" spans="1:20" x14ac:dyDescent="0.3">
      <c r="A154" s="2" t="s">
        <v>388</v>
      </c>
      <c r="B154" s="10">
        <v>45899</v>
      </c>
      <c r="C154" s="10">
        <v>45906</v>
      </c>
      <c r="D154" s="2" t="s">
        <v>189</v>
      </c>
      <c r="E154" s="2" t="s">
        <v>197</v>
      </c>
      <c r="F154" s="2" t="s">
        <v>191</v>
      </c>
      <c r="G154" s="2" t="s">
        <v>217</v>
      </c>
      <c r="H154" s="2" t="s">
        <v>255</v>
      </c>
      <c r="I154" s="2">
        <v>6</v>
      </c>
      <c r="J154" s="11">
        <v>1999</v>
      </c>
      <c r="K154" s="12">
        <v>0.2</v>
      </c>
      <c r="L154" s="2" t="s">
        <v>203</v>
      </c>
      <c r="M154" s="2" t="s">
        <v>195</v>
      </c>
      <c r="N154">
        <f>Table1[[#This Row],[Quantity]]*Table1[[#This Row],[Unit Price (₹)]]*(1-Table1[[#This Row],[Discount %]])</f>
        <v>9595.2000000000007</v>
      </c>
      <c r="O154" t="str">
        <f>TEXT(Table1[[#This Row],[Order Date]],"mmmm")</f>
        <v>August</v>
      </c>
      <c r="P154" t="str">
        <f>IF(Table1[[#This Row],[Revenue (₹)  ← add]]&gt;=15000,"High Value",IF(Table1[[#This Row],[Revenue (₹)  ← add]]&gt;=5000,"Medium","Low"))</f>
        <v>Medium</v>
      </c>
      <c r="Q154">
        <f>VLOOKUP(Table1[[#This Row],[Product]],Table2[],4,FALSE)</f>
        <v>1100</v>
      </c>
      <c r="R154">
        <f>Table1[[#This Row],[Revenue (₹)  ← add]]-Table1[[#This Row],[Cost Price  ← add]]</f>
        <v>8495.2000000000007</v>
      </c>
      <c r="S154">
        <f>IF(C154="", "",Table1[[#This Row],[Delivery Date]]-Table1[[#This Row],[Order Date]])</f>
        <v>7</v>
      </c>
      <c r="T154" t="str">
        <f>TEXT(Table1[[#This Row],[Order Date]],"DDDD")</f>
        <v>Saturday</v>
      </c>
    </row>
    <row r="155" spans="1:20" x14ac:dyDescent="0.3">
      <c r="A155" s="2" t="s">
        <v>389</v>
      </c>
      <c r="B155" s="10">
        <v>45901</v>
      </c>
      <c r="C155" s="10"/>
      <c r="D155" s="2" t="s">
        <v>205</v>
      </c>
      <c r="E155" s="2" t="s">
        <v>206</v>
      </c>
      <c r="F155" s="2" t="s">
        <v>211</v>
      </c>
      <c r="G155" s="2" t="s">
        <v>192</v>
      </c>
      <c r="H155" s="2" t="s">
        <v>247</v>
      </c>
      <c r="I155" s="2">
        <v>19</v>
      </c>
      <c r="J155" s="11">
        <v>349</v>
      </c>
      <c r="K155" s="12">
        <v>0.1</v>
      </c>
      <c r="L155" s="2" t="s">
        <v>194</v>
      </c>
      <c r="M155" s="2" t="s">
        <v>215</v>
      </c>
      <c r="N155">
        <f>Table1[[#This Row],[Quantity]]*Table1[[#This Row],[Unit Price (₹)]]*(1-Table1[[#This Row],[Discount %]])</f>
        <v>5967.9000000000005</v>
      </c>
      <c r="O155" t="str">
        <f>TEXT(Table1[[#This Row],[Order Date]],"mmmm")</f>
        <v>September</v>
      </c>
      <c r="P155" t="str">
        <f>IF(Table1[[#This Row],[Revenue (₹)  ← add]]&gt;=15000,"High Value",IF(Table1[[#This Row],[Revenue (₹)  ← add]]&gt;=5000,"Medium","Low"))</f>
        <v>Medium</v>
      </c>
      <c r="Q155">
        <f>VLOOKUP(Table1[[#This Row],[Product]],Table2[],4,FALSE)</f>
        <v>180</v>
      </c>
      <c r="R155">
        <f>Table1[[#This Row],[Revenue (₹)  ← add]]-Table1[[#This Row],[Cost Price  ← add]]</f>
        <v>5787.9000000000005</v>
      </c>
      <c r="S155" t="str">
        <f>IF(C155="", "",Table1[[#This Row],[Delivery Date]]-Table1[[#This Row],[Order Date]])</f>
        <v/>
      </c>
      <c r="T155" t="str">
        <f>TEXT(Table1[[#This Row],[Order Date]],"DDDD")</f>
        <v>Monday</v>
      </c>
    </row>
    <row r="156" spans="1:20" x14ac:dyDescent="0.3">
      <c r="A156" s="2" t="s">
        <v>390</v>
      </c>
      <c r="B156" s="10">
        <v>45903</v>
      </c>
      <c r="C156" s="10">
        <v>45907</v>
      </c>
      <c r="D156" s="2" t="s">
        <v>222</v>
      </c>
      <c r="E156" s="2" t="s">
        <v>231</v>
      </c>
      <c r="F156" s="2" t="s">
        <v>224</v>
      </c>
      <c r="G156" s="2" t="s">
        <v>198</v>
      </c>
      <c r="H156" s="2" t="s">
        <v>208</v>
      </c>
      <c r="I156" s="2">
        <v>2</v>
      </c>
      <c r="J156" s="11">
        <v>599</v>
      </c>
      <c r="K156" s="12">
        <v>0.05</v>
      </c>
      <c r="L156" s="2" t="s">
        <v>203</v>
      </c>
      <c r="M156" s="2" t="s">
        <v>219</v>
      </c>
      <c r="N156">
        <f>Table1[[#This Row],[Quantity]]*Table1[[#This Row],[Unit Price (₹)]]*(1-Table1[[#This Row],[Discount %]])</f>
        <v>1138.0999999999999</v>
      </c>
      <c r="O156" t="str">
        <f>TEXT(Table1[[#This Row],[Order Date]],"mmmm")</f>
        <v>September</v>
      </c>
      <c r="P156" t="str">
        <f>IF(Table1[[#This Row],[Revenue (₹)  ← add]]&gt;=15000,"High Value",IF(Table1[[#This Row],[Revenue (₹)  ← add]]&gt;=5000,"Medium","Low"))</f>
        <v>Low</v>
      </c>
      <c r="Q156">
        <f>VLOOKUP(Table1[[#This Row],[Product]],Table2[],4,FALSE)</f>
        <v>300</v>
      </c>
      <c r="R156">
        <f>Table1[[#This Row],[Revenue (₹)  ← add]]-Table1[[#This Row],[Cost Price  ← add]]</f>
        <v>838.09999999999991</v>
      </c>
      <c r="S156">
        <f>IF(C156="", "",Table1[[#This Row],[Delivery Date]]-Table1[[#This Row],[Order Date]])</f>
        <v>4</v>
      </c>
      <c r="T156" t="str">
        <f>TEXT(Table1[[#This Row],[Order Date]],"DDDD")</f>
        <v>Wednesday</v>
      </c>
    </row>
    <row r="157" spans="1:20" x14ac:dyDescent="0.3">
      <c r="A157" s="2" t="s">
        <v>391</v>
      </c>
      <c r="B157" s="10">
        <v>45903</v>
      </c>
      <c r="C157" s="10">
        <v>45905</v>
      </c>
      <c r="D157" s="2" t="s">
        <v>222</v>
      </c>
      <c r="E157" s="2" t="s">
        <v>259</v>
      </c>
      <c r="F157" s="2" t="s">
        <v>224</v>
      </c>
      <c r="G157" s="2" t="s">
        <v>198</v>
      </c>
      <c r="H157" s="2" t="s">
        <v>208</v>
      </c>
      <c r="I157" s="2">
        <v>4</v>
      </c>
      <c r="J157" s="11">
        <v>599</v>
      </c>
      <c r="K157" s="12">
        <v>0.15</v>
      </c>
      <c r="L157" s="2" t="s">
        <v>229</v>
      </c>
      <c r="M157" s="2" t="s">
        <v>195</v>
      </c>
      <c r="N157">
        <f>Table1[[#This Row],[Quantity]]*Table1[[#This Row],[Unit Price (₹)]]*(1-Table1[[#This Row],[Discount %]])</f>
        <v>2036.6</v>
      </c>
      <c r="O157" t="str">
        <f>TEXT(Table1[[#This Row],[Order Date]],"mmmm")</f>
        <v>September</v>
      </c>
      <c r="P157" t="str">
        <f>IF(Table1[[#This Row],[Revenue (₹)  ← add]]&gt;=15000,"High Value",IF(Table1[[#This Row],[Revenue (₹)  ← add]]&gt;=5000,"Medium","Low"))</f>
        <v>Low</v>
      </c>
      <c r="Q157">
        <f>VLOOKUP(Table1[[#This Row],[Product]],Table2[],4,FALSE)</f>
        <v>300</v>
      </c>
      <c r="R157">
        <f>Table1[[#This Row],[Revenue (₹)  ← add]]-Table1[[#This Row],[Cost Price  ← add]]</f>
        <v>1736.6</v>
      </c>
      <c r="S157">
        <f>IF(C157="", "",Table1[[#This Row],[Delivery Date]]-Table1[[#This Row],[Order Date]])</f>
        <v>2</v>
      </c>
      <c r="T157" t="str">
        <f>TEXT(Table1[[#This Row],[Order Date]],"DDDD")</f>
        <v>Wednesday</v>
      </c>
    </row>
    <row r="158" spans="1:20" x14ac:dyDescent="0.3">
      <c r="A158" s="2" t="s">
        <v>392</v>
      </c>
      <c r="B158" s="10">
        <v>45903</v>
      </c>
      <c r="C158" s="10"/>
      <c r="D158" s="2" t="s">
        <v>238</v>
      </c>
      <c r="E158" s="2" t="s">
        <v>254</v>
      </c>
      <c r="F158" s="2" t="s">
        <v>240</v>
      </c>
      <c r="G158" s="2" t="s">
        <v>201</v>
      </c>
      <c r="H158" s="2" t="s">
        <v>314</v>
      </c>
      <c r="I158" s="2">
        <v>2</v>
      </c>
      <c r="J158" s="11">
        <v>6999</v>
      </c>
      <c r="K158" s="12">
        <v>0.05</v>
      </c>
      <c r="L158" s="2" t="s">
        <v>229</v>
      </c>
      <c r="M158" s="2" t="s">
        <v>215</v>
      </c>
      <c r="N158">
        <f>Table1[[#This Row],[Quantity]]*Table1[[#This Row],[Unit Price (₹)]]*(1-Table1[[#This Row],[Discount %]])</f>
        <v>13298.099999999999</v>
      </c>
      <c r="O158" t="str">
        <f>TEXT(Table1[[#This Row],[Order Date]],"mmmm")</f>
        <v>September</v>
      </c>
      <c r="P158" t="str">
        <f>IF(Table1[[#This Row],[Revenue (₹)  ← add]]&gt;=15000,"High Value",IF(Table1[[#This Row],[Revenue (₹)  ← add]]&gt;=5000,"Medium","Low"))</f>
        <v>Medium</v>
      </c>
      <c r="Q158">
        <f>VLOOKUP(Table1[[#This Row],[Product]],Table2[],4,FALSE)</f>
        <v>4200</v>
      </c>
      <c r="R158">
        <f>Table1[[#This Row],[Revenue (₹)  ← add]]-Table1[[#This Row],[Cost Price  ← add]]</f>
        <v>9098.0999999999985</v>
      </c>
      <c r="S158" t="str">
        <f>IF(C158="", "",Table1[[#This Row],[Delivery Date]]-Table1[[#This Row],[Order Date]])</f>
        <v/>
      </c>
      <c r="T158" t="str">
        <f>TEXT(Table1[[#This Row],[Order Date]],"DDDD")</f>
        <v>Wednesday</v>
      </c>
    </row>
    <row r="159" spans="1:20" x14ac:dyDescent="0.3">
      <c r="A159" s="2" t="s">
        <v>393</v>
      </c>
      <c r="B159" s="10">
        <v>45903</v>
      </c>
      <c r="C159" s="10"/>
      <c r="D159" s="2" t="s">
        <v>205</v>
      </c>
      <c r="E159" s="2" t="s">
        <v>227</v>
      </c>
      <c r="F159" s="2" t="s">
        <v>211</v>
      </c>
      <c r="G159" s="2" t="s">
        <v>192</v>
      </c>
      <c r="H159" s="2" t="s">
        <v>193</v>
      </c>
      <c r="I159" s="2">
        <v>14</v>
      </c>
      <c r="J159" s="11">
        <v>249</v>
      </c>
      <c r="K159" s="12">
        <v>0.05</v>
      </c>
      <c r="L159" s="2" t="s">
        <v>214</v>
      </c>
      <c r="M159" s="2" t="s">
        <v>215</v>
      </c>
      <c r="N159">
        <f>Table1[[#This Row],[Quantity]]*Table1[[#This Row],[Unit Price (₹)]]*(1-Table1[[#This Row],[Discount %]])</f>
        <v>3311.7</v>
      </c>
      <c r="O159" t="str">
        <f>TEXT(Table1[[#This Row],[Order Date]],"mmmm")</f>
        <v>September</v>
      </c>
      <c r="P159" t="str">
        <f>IF(Table1[[#This Row],[Revenue (₹)  ← add]]&gt;=15000,"High Value",IF(Table1[[#This Row],[Revenue (₹)  ← add]]&gt;=5000,"Medium","Low"))</f>
        <v>Low</v>
      </c>
      <c r="Q159">
        <f>VLOOKUP(Table1[[#This Row],[Product]],Table2[],4,FALSE)</f>
        <v>120</v>
      </c>
      <c r="R159">
        <f>Table1[[#This Row],[Revenue (₹)  ← add]]-Table1[[#This Row],[Cost Price  ← add]]</f>
        <v>3191.7</v>
      </c>
      <c r="S159" t="str">
        <f>IF(C159="", "",Table1[[#This Row],[Delivery Date]]-Table1[[#This Row],[Order Date]])</f>
        <v/>
      </c>
      <c r="T159" t="str">
        <f>TEXT(Table1[[#This Row],[Order Date]],"DDDD")</f>
        <v>Wednesday</v>
      </c>
    </row>
    <row r="160" spans="1:20" x14ac:dyDescent="0.3">
      <c r="A160" s="2" t="s">
        <v>394</v>
      </c>
      <c r="B160" s="10">
        <v>45904</v>
      </c>
      <c r="C160" s="10">
        <v>45908</v>
      </c>
      <c r="D160" s="2" t="s">
        <v>238</v>
      </c>
      <c r="E160" s="2" t="s">
        <v>243</v>
      </c>
      <c r="F160" s="2" t="s">
        <v>240</v>
      </c>
      <c r="G160" s="2" t="s">
        <v>192</v>
      </c>
      <c r="H160" s="2" t="s">
        <v>247</v>
      </c>
      <c r="I160" s="2">
        <v>23</v>
      </c>
      <c r="J160" s="11">
        <v>349</v>
      </c>
      <c r="K160" s="12">
        <v>0.05</v>
      </c>
      <c r="L160" s="2" t="s">
        <v>203</v>
      </c>
      <c r="M160" s="2" t="s">
        <v>195</v>
      </c>
      <c r="N160">
        <f>Table1[[#This Row],[Quantity]]*Table1[[#This Row],[Unit Price (₹)]]*(1-Table1[[#This Row],[Discount %]])</f>
        <v>7625.65</v>
      </c>
      <c r="O160" t="str">
        <f>TEXT(Table1[[#This Row],[Order Date]],"mmmm")</f>
        <v>September</v>
      </c>
      <c r="P160" t="str">
        <f>IF(Table1[[#This Row],[Revenue (₹)  ← add]]&gt;=15000,"High Value",IF(Table1[[#This Row],[Revenue (₹)  ← add]]&gt;=5000,"Medium","Low"))</f>
        <v>Medium</v>
      </c>
      <c r="Q160">
        <f>VLOOKUP(Table1[[#This Row],[Product]],Table2[],4,FALSE)</f>
        <v>180</v>
      </c>
      <c r="R160">
        <f>Table1[[#This Row],[Revenue (₹)  ← add]]-Table1[[#This Row],[Cost Price  ← add]]</f>
        <v>7445.65</v>
      </c>
      <c r="S160">
        <f>IF(C160="", "",Table1[[#This Row],[Delivery Date]]-Table1[[#This Row],[Order Date]])</f>
        <v>4</v>
      </c>
      <c r="T160" t="str">
        <f>TEXT(Table1[[#This Row],[Order Date]],"DDDD")</f>
        <v>Thursday</v>
      </c>
    </row>
    <row r="161" spans="1:20" x14ac:dyDescent="0.3">
      <c r="A161" s="2" t="s">
        <v>395</v>
      </c>
      <c r="B161" s="10">
        <v>45906</v>
      </c>
      <c r="C161" s="10">
        <v>45915</v>
      </c>
      <c r="D161" s="2" t="s">
        <v>205</v>
      </c>
      <c r="E161" s="2" t="s">
        <v>210</v>
      </c>
      <c r="F161" s="2" t="s">
        <v>207</v>
      </c>
      <c r="G161" s="2" t="s">
        <v>217</v>
      </c>
      <c r="H161" s="2" t="s">
        <v>218</v>
      </c>
      <c r="I161" s="2">
        <v>4</v>
      </c>
      <c r="J161" s="11">
        <v>1499</v>
      </c>
      <c r="K161" s="12">
        <v>0.1</v>
      </c>
      <c r="L161" s="2" t="s">
        <v>229</v>
      </c>
      <c r="M161" s="2" t="s">
        <v>195</v>
      </c>
      <c r="N161">
        <f>Table1[[#This Row],[Quantity]]*Table1[[#This Row],[Unit Price (₹)]]*(1-Table1[[#This Row],[Discount %]])</f>
        <v>5396.4000000000005</v>
      </c>
      <c r="O161" t="str">
        <f>TEXT(Table1[[#This Row],[Order Date]],"mmmm")</f>
        <v>September</v>
      </c>
      <c r="P161" t="str">
        <f>IF(Table1[[#This Row],[Revenue (₹)  ← add]]&gt;=15000,"High Value",IF(Table1[[#This Row],[Revenue (₹)  ← add]]&gt;=5000,"Medium","Low"))</f>
        <v>Medium</v>
      </c>
      <c r="Q161">
        <f>VLOOKUP(Table1[[#This Row],[Product]],Table2[],4,FALSE)</f>
        <v>850</v>
      </c>
      <c r="R161">
        <f>Table1[[#This Row],[Revenue (₹)  ← add]]-Table1[[#This Row],[Cost Price  ← add]]</f>
        <v>4546.4000000000005</v>
      </c>
      <c r="S161">
        <f>IF(C161="", "",Table1[[#This Row],[Delivery Date]]-Table1[[#This Row],[Order Date]])</f>
        <v>9</v>
      </c>
      <c r="T161" t="str">
        <f>TEXT(Table1[[#This Row],[Order Date]],"DDDD")</f>
        <v>Saturday</v>
      </c>
    </row>
    <row r="162" spans="1:20" x14ac:dyDescent="0.3">
      <c r="A162" s="2" t="s">
        <v>396</v>
      </c>
      <c r="B162" s="10">
        <v>45906</v>
      </c>
      <c r="C162" s="10">
        <v>45914</v>
      </c>
      <c r="D162" s="2" t="s">
        <v>222</v>
      </c>
      <c r="E162" s="2" t="s">
        <v>259</v>
      </c>
      <c r="F162" s="2" t="s">
        <v>224</v>
      </c>
      <c r="G162" s="2" t="s">
        <v>198</v>
      </c>
      <c r="H162" s="2" t="s">
        <v>208</v>
      </c>
      <c r="I162" s="2">
        <v>5</v>
      </c>
      <c r="J162" s="11">
        <v>599</v>
      </c>
      <c r="K162" s="12">
        <v>0.2</v>
      </c>
      <c r="L162" s="2" t="s">
        <v>203</v>
      </c>
      <c r="M162" s="2" t="s">
        <v>195</v>
      </c>
      <c r="N162">
        <f>Table1[[#This Row],[Quantity]]*Table1[[#This Row],[Unit Price (₹)]]*(1-Table1[[#This Row],[Discount %]])</f>
        <v>2396</v>
      </c>
      <c r="O162" t="str">
        <f>TEXT(Table1[[#This Row],[Order Date]],"mmmm")</f>
        <v>September</v>
      </c>
      <c r="P162" t="str">
        <f>IF(Table1[[#This Row],[Revenue (₹)  ← add]]&gt;=15000,"High Value",IF(Table1[[#This Row],[Revenue (₹)  ← add]]&gt;=5000,"Medium","Low"))</f>
        <v>Low</v>
      </c>
      <c r="Q162">
        <f>VLOOKUP(Table1[[#This Row],[Product]],Table2[],4,FALSE)</f>
        <v>300</v>
      </c>
      <c r="R162">
        <f>Table1[[#This Row],[Revenue (₹)  ← add]]-Table1[[#This Row],[Cost Price  ← add]]</f>
        <v>2096</v>
      </c>
      <c r="S162">
        <f>IF(C162="", "",Table1[[#This Row],[Delivery Date]]-Table1[[#This Row],[Order Date]])</f>
        <v>8</v>
      </c>
      <c r="T162" t="str">
        <f>TEXT(Table1[[#This Row],[Order Date]],"DDDD")</f>
        <v>Saturday</v>
      </c>
    </row>
    <row r="163" spans="1:20" x14ac:dyDescent="0.3">
      <c r="A163" s="2" t="s">
        <v>397</v>
      </c>
      <c r="B163" s="10">
        <v>45909</v>
      </c>
      <c r="C163" s="10">
        <v>45916</v>
      </c>
      <c r="D163" s="2" t="s">
        <v>222</v>
      </c>
      <c r="E163" s="2" t="s">
        <v>231</v>
      </c>
      <c r="F163" s="2" t="s">
        <v>249</v>
      </c>
      <c r="G163" s="2" t="s">
        <v>192</v>
      </c>
      <c r="H163" s="2" t="s">
        <v>234</v>
      </c>
      <c r="I163" s="2">
        <v>12</v>
      </c>
      <c r="J163" s="11">
        <v>599</v>
      </c>
      <c r="K163" s="12">
        <v>0.05</v>
      </c>
      <c r="L163" s="2" t="s">
        <v>203</v>
      </c>
      <c r="M163" s="2" t="s">
        <v>195</v>
      </c>
      <c r="N163">
        <f>Table1[[#This Row],[Quantity]]*Table1[[#This Row],[Unit Price (₹)]]*(1-Table1[[#This Row],[Discount %]])</f>
        <v>6828.5999999999995</v>
      </c>
      <c r="O163" t="str">
        <f>TEXT(Table1[[#This Row],[Order Date]],"mmmm")</f>
        <v>September</v>
      </c>
      <c r="P163" t="str">
        <f>IF(Table1[[#This Row],[Revenue (₹)  ← add]]&gt;=15000,"High Value",IF(Table1[[#This Row],[Revenue (₹)  ← add]]&gt;=5000,"Medium","Low"))</f>
        <v>Medium</v>
      </c>
      <c r="Q163">
        <f>VLOOKUP(Table1[[#This Row],[Product]],Table2[],4,FALSE)</f>
        <v>320</v>
      </c>
      <c r="R163">
        <f>Table1[[#This Row],[Revenue (₹)  ← add]]-Table1[[#This Row],[Cost Price  ← add]]</f>
        <v>6508.5999999999995</v>
      </c>
      <c r="S163">
        <f>IF(C163="", "",Table1[[#This Row],[Delivery Date]]-Table1[[#This Row],[Order Date]])</f>
        <v>7</v>
      </c>
      <c r="T163" t="str">
        <f>TEXT(Table1[[#This Row],[Order Date]],"DDDD")</f>
        <v>Tuesday</v>
      </c>
    </row>
    <row r="164" spans="1:20" x14ac:dyDescent="0.3">
      <c r="A164" s="2" t="s">
        <v>398</v>
      </c>
      <c r="B164" s="10">
        <v>45910</v>
      </c>
      <c r="C164" s="10">
        <v>45916</v>
      </c>
      <c r="D164" s="2" t="s">
        <v>222</v>
      </c>
      <c r="E164" s="2" t="s">
        <v>259</v>
      </c>
      <c r="F164" s="2" t="s">
        <v>224</v>
      </c>
      <c r="G164" s="2" t="s">
        <v>217</v>
      </c>
      <c r="H164" s="2" t="s">
        <v>228</v>
      </c>
      <c r="I164" s="2">
        <v>5</v>
      </c>
      <c r="J164" s="11">
        <v>799</v>
      </c>
      <c r="K164" s="12">
        <v>0.1</v>
      </c>
      <c r="L164" s="2" t="s">
        <v>194</v>
      </c>
      <c r="M164" s="2" t="s">
        <v>195</v>
      </c>
      <c r="N164">
        <f>Table1[[#This Row],[Quantity]]*Table1[[#This Row],[Unit Price (₹)]]*(1-Table1[[#This Row],[Discount %]])</f>
        <v>3595.5</v>
      </c>
      <c r="O164" t="str">
        <f>TEXT(Table1[[#This Row],[Order Date]],"mmmm")</f>
        <v>September</v>
      </c>
      <c r="P164" t="str">
        <f>IF(Table1[[#This Row],[Revenue (₹)  ← add]]&gt;=15000,"High Value",IF(Table1[[#This Row],[Revenue (₹)  ← add]]&gt;=5000,"Medium","Low"))</f>
        <v>Low</v>
      </c>
      <c r="Q164">
        <f>VLOOKUP(Table1[[#This Row],[Product]],Table2[],4,FALSE)</f>
        <v>450</v>
      </c>
      <c r="R164">
        <f>Table1[[#This Row],[Revenue (₹)  ← add]]-Table1[[#This Row],[Cost Price  ← add]]</f>
        <v>3145.5</v>
      </c>
      <c r="S164">
        <f>IF(C164="", "",Table1[[#This Row],[Delivery Date]]-Table1[[#This Row],[Order Date]])</f>
        <v>6</v>
      </c>
      <c r="T164" t="str">
        <f>TEXT(Table1[[#This Row],[Order Date]],"DDDD")</f>
        <v>Wednesday</v>
      </c>
    </row>
    <row r="165" spans="1:20" x14ac:dyDescent="0.3">
      <c r="A165" s="2" t="s">
        <v>399</v>
      </c>
      <c r="B165" s="10">
        <v>45914</v>
      </c>
      <c r="C165" s="10">
        <v>45917</v>
      </c>
      <c r="D165" s="2" t="s">
        <v>222</v>
      </c>
      <c r="E165" s="2" t="s">
        <v>231</v>
      </c>
      <c r="F165" s="2" t="s">
        <v>224</v>
      </c>
      <c r="G165" s="2" t="s">
        <v>217</v>
      </c>
      <c r="H165" s="2" t="s">
        <v>218</v>
      </c>
      <c r="I165" s="2">
        <v>2</v>
      </c>
      <c r="J165" s="11">
        <v>1499</v>
      </c>
      <c r="K165" s="12">
        <v>0.05</v>
      </c>
      <c r="L165" s="2" t="s">
        <v>194</v>
      </c>
      <c r="M165" s="2" t="s">
        <v>195</v>
      </c>
      <c r="N165">
        <f>Table1[[#This Row],[Quantity]]*Table1[[#This Row],[Unit Price (₹)]]*(1-Table1[[#This Row],[Discount %]])</f>
        <v>2848.1</v>
      </c>
      <c r="O165" t="str">
        <f>TEXT(Table1[[#This Row],[Order Date]],"mmmm")</f>
        <v>September</v>
      </c>
      <c r="P165" t="str">
        <f>IF(Table1[[#This Row],[Revenue (₹)  ← add]]&gt;=15000,"High Value",IF(Table1[[#This Row],[Revenue (₹)  ← add]]&gt;=5000,"Medium","Low"))</f>
        <v>Low</v>
      </c>
      <c r="Q165">
        <f>VLOOKUP(Table1[[#This Row],[Product]],Table2[],4,FALSE)</f>
        <v>850</v>
      </c>
      <c r="R165">
        <f>Table1[[#This Row],[Revenue (₹)  ← add]]-Table1[[#This Row],[Cost Price  ← add]]</f>
        <v>1998.1</v>
      </c>
      <c r="S165">
        <f>IF(C165="", "",Table1[[#This Row],[Delivery Date]]-Table1[[#This Row],[Order Date]])</f>
        <v>3</v>
      </c>
      <c r="T165" t="str">
        <f>TEXT(Table1[[#This Row],[Order Date]],"DDDD")</f>
        <v>Sunday</v>
      </c>
    </row>
    <row r="166" spans="1:20" x14ac:dyDescent="0.3">
      <c r="A166" s="2" t="s">
        <v>400</v>
      </c>
      <c r="B166" s="10">
        <v>45917</v>
      </c>
      <c r="C166" s="10">
        <v>45924</v>
      </c>
      <c r="D166" s="2" t="s">
        <v>238</v>
      </c>
      <c r="E166" s="2" t="s">
        <v>243</v>
      </c>
      <c r="F166" s="2" t="s">
        <v>240</v>
      </c>
      <c r="G166" s="2" t="s">
        <v>217</v>
      </c>
      <c r="H166" s="2" t="s">
        <v>236</v>
      </c>
      <c r="I166" s="2">
        <v>3</v>
      </c>
      <c r="J166" s="11">
        <v>2499</v>
      </c>
      <c r="K166" s="12">
        <v>0.05</v>
      </c>
      <c r="L166" s="2" t="s">
        <v>229</v>
      </c>
      <c r="M166" s="2" t="s">
        <v>195</v>
      </c>
      <c r="N166">
        <f>Table1[[#This Row],[Quantity]]*Table1[[#This Row],[Unit Price (₹)]]*(1-Table1[[#This Row],[Discount %]])</f>
        <v>7122.15</v>
      </c>
      <c r="O166" t="str">
        <f>TEXT(Table1[[#This Row],[Order Date]],"mmmm")</f>
        <v>September</v>
      </c>
      <c r="P166" t="str">
        <f>IF(Table1[[#This Row],[Revenue (₹)  ← add]]&gt;=15000,"High Value",IF(Table1[[#This Row],[Revenue (₹)  ← add]]&gt;=5000,"Medium","Low"))</f>
        <v>Medium</v>
      </c>
      <c r="Q166">
        <f>VLOOKUP(Table1[[#This Row],[Product]],Table2[],4,FALSE)</f>
        <v>1500</v>
      </c>
      <c r="R166">
        <f>Table1[[#This Row],[Revenue (₹)  ← add]]-Table1[[#This Row],[Cost Price  ← add]]</f>
        <v>5622.15</v>
      </c>
      <c r="S166">
        <f>IF(C166="", "",Table1[[#This Row],[Delivery Date]]-Table1[[#This Row],[Order Date]])</f>
        <v>7</v>
      </c>
      <c r="T166" t="str">
        <f>TEXT(Table1[[#This Row],[Order Date]],"DDDD")</f>
        <v>Wednesday</v>
      </c>
    </row>
    <row r="167" spans="1:20" x14ac:dyDescent="0.3">
      <c r="A167" s="2" t="s">
        <v>401</v>
      </c>
      <c r="B167" s="10">
        <v>45920</v>
      </c>
      <c r="C167" s="10">
        <v>45924</v>
      </c>
      <c r="D167" s="2" t="s">
        <v>222</v>
      </c>
      <c r="E167" s="2" t="s">
        <v>223</v>
      </c>
      <c r="F167" s="2" t="s">
        <v>224</v>
      </c>
      <c r="G167" s="2" t="s">
        <v>201</v>
      </c>
      <c r="H167" s="2" t="s">
        <v>250</v>
      </c>
      <c r="I167" s="2">
        <v>2</v>
      </c>
      <c r="J167" s="11">
        <v>5499</v>
      </c>
      <c r="K167" s="12">
        <v>0.2</v>
      </c>
      <c r="L167" s="2" t="s">
        <v>203</v>
      </c>
      <c r="M167" s="2" t="s">
        <v>195</v>
      </c>
      <c r="N167">
        <f>Table1[[#This Row],[Quantity]]*Table1[[#This Row],[Unit Price (₹)]]*(1-Table1[[#This Row],[Discount %]])</f>
        <v>8798.4</v>
      </c>
      <c r="O167" t="str">
        <f>TEXT(Table1[[#This Row],[Order Date]],"mmmm")</f>
        <v>September</v>
      </c>
      <c r="P167" t="str">
        <f>IF(Table1[[#This Row],[Revenue (₹)  ← add]]&gt;=15000,"High Value",IF(Table1[[#This Row],[Revenue (₹)  ← add]]&gt;=5000,"Medium","Low"))</f>
        <v>Medium</v>
      </c>
      <c r="Q167">
        <f>VLOOKUP(Table1[[#This Row],[Product]],Table2[],4,FALSE)</f>
        <v>3300</v>
      </c>
      <c r="R167">
        <f>Table1[[#This Row],[Revenue (₹)  ← add]]-Table1[[#This Row],[Cost Price  ← add]]</f>
        <v>5498.4</v>
      </c>
      <c r="S167">
        <f>IF(C167="", "",Table1[[#This Row],[Delivery Date]]-Table1[[#This Row],[Order Date]])</f>
        <v>4</v>
      </c>
      <c r="T167" t="str">
        <f>TEXT(Table1[[#This Row],[Order Date]],"DDDD")</f>
        <v>Saturday</v>
      </c>
    </row>
    <row r="168" spans="1:20" x14ac:dyDescent="0.3">
      <c r="A168" s="2" t="s">
        <v>402</v>
      </c>
      <c r="B168" s="10">
        <v>45922</v>
      </c>
      <c r="C168" s="10">
        <v>45930</v>
      </c>
      <c r="D168" s="2" t="s">
        <v>222</v>
      </c>
      <c r="E168" s="2" t="s">
        <v>223</v>
      </c>
      <c r="F168" s="2" t="s">
        <v>224</v>
      </c>
      <c r="G168" s="2" t="s">
        <v>217</v>
      </c>
      <c r="H168" s="2" t="s">
        <v>228</v>
      </c>
      <c r="I168" s="2">
        <v>1</v>
      </c>
      <c r="J168" s="11">
        <v>799</v>
      </c>
      <c r="K168" s="12">
        <v>0.1</v>
      </c>
      <c r="L168" s="2" t="s">
        <v>229</v>
      </c>
      <c r="M168" s="2" t="s">
        <v>195</v>
      </c>
      <c r="N168">
        <f>Table1[[#This Row],[Quantity]]*Table1[[#This Row],[Unit Price (₹)]]*(1-Table1[[#This Row],[Discount %]])</f>
        <v>719.1</v>
      </c>
      <c r="O168" t="str">
        <f>TEXT(Table1[[#This Row],[Order Date]],"mmmm")</f>
        <v>September</v>
      </c>
      <c r="P168" t="str">
        <f>IF(Table1[[#This Row],[Revenue (₹)  ← add]]&gt;=15000,"High Value",IF(Table1[[#This Row],[Revenue (₹)  ← add]]&gt;=5000,"Medium","Low"))</f>
        <v>Low</v>
      </c>
      <c r="Q168">
        <f>VLOOKUP(Table1[[#This Row],[Product]],Table2[],4,FALSE)</f>
        <v>450</v>
      </c>
      <c r="R168">
        <f>Table1[[#This Row],[Revenue (₹)  ← add]]-Table1[[#This Row],[Cost Price  ← add]]</f>
        <v>269.10000000000002</v>
      </c>
      <c r="S168">
        <f>IF(C168="", "",Table1[[#This Row],[Delivery Date]]-Table1[[#This Row],[Order Date]])</f>
        <v>8</v>
      </c>
      <c r="T168" t="str">
        <f>TEXT(Table1[[#This Row],[Order Date]],"DDDD")</f>
        <v>Monday</v>
      </c>
    </row>
    <row r="169" spans="1:20" x14ac:dyDescent="0.3">
      <c r="A169" s="2" t="s">
        <v>403</v>
      </c>
      <c r="B169" s="10">
        <v>45925</v>
      </c>
      <c r="C169" s="10"/>
      <c r="D169" s="2" t="s">
        <v>189</v>
      </c>
      <c r="E169" s="2" t="s">
        <v>277</v>
      </c>
      <c r="F169" s="2" t="s">
        <v>213</v>
      </c>
      <c r="G169" s="2" t="s">
        <v>192</v>
      </c>
      <c r="H169" s="2" t="s">
        <v>193</v>
      </c>
      <c r="I169" s="2">
        <v>9</v>
      </c>
      <c r="J169" s="11">
        <v>249</v>
      </c>
      <c r="K169" s="12">
        <v>0.05</v>
      </c>
      <c r="L169" s="2" t="s">
        <v>229</v>
      </c>
      <c r="M169" s="2" t="s">
        <v>215</v>
      </c>
      <c r="N169">
        <f>Table1[[#This Row],[Quantity]]*Table1[[#This Row],[Unit Price (₹)]]*(1-Table1[[#This Row],[Discount %]])</f>
        <v>2128.9499999999998</v>
      </c>
      <c r="O169" t="str">
        <f>TEXT(Table1[[#This Row],[Order Date]],"mmmm")</f>
        <v>September</v>
      </c>
      <c r="P169" t="str">
        <f>IF(Table1[[#This Row],[Revenue (₹)  ← add]]&gt;=15000,"High Value",IF(Table1[[#This Row],[Revenue (₹)  ← add]]&gt;=5000,"Medium","Low"))</f>
        <v>Low</v>
      </c>
      <c r="Q169">
        <f>VLOOKUP(Table1[[#This Row],[Product]],Table2[],4,FALSE)</f>
        <v>120</v>
      </c>
      <c r="R169">
        <f>Table1[[#This Row],[Revenue (₹)  ← add]]-Table1[[#This Row],[Cost Price  ← add]]</f>
        <v>2008.9499999999998</v>
      </c>
      <c r="S169" t="str">
        <f>IF(C169="", "",Table1[[#This Row],[Delivery Date]]-Table1[[#This Row],[Order Date]])</f>
        <v/>
      </c>
      <c r="T169" t="str">
        <f>TEXT(Table1[[#This Row],[Order Date]],"DDDD")</f>
        <v>Thursday</v>
      </c>
    </row>
    <row r="170" spans="1:20" x14ac:dyDescent="0.3">
      <c r="A170" s="2" t="s">
        <v>404</v>
      </c>
      <c r="B170" s="10">
        <v>45927</v>
      </c>
      <c r="C170" s="10">
        <v>45929</v>
      </c>
      <c r="D170" s="2" t="s">
        <v>205</v>
      </c>
      <c r="E170" s="2" t="s">
        <v>210</v>
      </c>
      <c r="F170" s="2" t="s">
        <v>211</v>
      </c>
      <c r="G170" s="2" t="s">
        <v>198</v>
      </c>
      <c r="H170" s="2" t="s">
        <v>199</v>
      </c>
      <c r="I170" s="2">
        <v>4</v>
      </c>
      <c r="J170" s="11">
        <v>2999</v>
      </c>
      <c r="K170" s="12">
        <v>0.1</v>
      </c>
      <c r="L170" s="2" t="s">
        <v>225</v>
      </c>
      <c r="M170" s="2" t="s">
        <v>195</v>
      </c>
      <c r="N170">
        <f>Table1[[#This Row],[Quantity]]*Table1[[#This Row],[Unit Price (₹)]]*(1-Table1[[#This Row],[Discount %]])</f>
        <v>10796.4</v>
      </c>
      <c r="O170" t="str">
        <f>TEXT(Table1[[#This Row],[Order Date]],"mmmm")</f>
        <v>September</v>
      </c>
      <c r="P170" t="str">
        <f>IF(Table1[[#This Row],[Revenue (₹)  ← add]]&gt;=15000,"High Value",IF(Table1[[#This Row],[Revenue (₹)  ← add]]&gt;=5000,"Medium","Low"))</f>
        <v>Medium</v>
      </c>
      <c r="Q170">
        <f>VLOOKUP(Table1[[#This Row],[Product]],Table2[],4,FALSE)</f>
        <v>1700</v>
      </c>
      <c r="R170">
        <f>Table1[[#This Row],[Revenue (₹)  ← add]]-Table1[[#This Row],[Cost Price  ← add]]</f>
        <v>9096.4</v>
      </c>
      <c r="S170">
        <f>IF(C170="", "",Table1[[#This Row],[Delivery Date]]-Table1[[#This Row],[Order Date]])</f>
        <v>2</v>
      </c>
      <c r="T170" t="str">
        <f>TEXT(Table1[[#This Row],[Order Date]],"DDDD")</f>
        <v>Saturday</v>
      </c>
    </row>
    <row r="171" spans="1:20" x14ac:dyDescent="0.3">
      <c r="A171" s="2" t="s">
        <v>405</v>
      </c>
      <c r="B171" s="10">
        <v>45928</v>
      </c>
      <c r="C171" s="10">
        <v>45935</v>
      </c>
      <c r="D171" s="2" t="s">
        <v>189</v>
      </c>
      <c r="E171" s="2" t="s">
        <v>190</v>
      </c>
      <c r="F171" s="2" t="s">
        <v>213</v>
      </c>
      <c r="G171" s="2" t="s">
        <v>198</v>
      </c>
      <c r="H171" s="2" t="s">
        <v>208</v>
      </c>
      <c r="I171" s="2">
        <v>6</v>
      </c>
      <c r="J171" s="11">
        <v>599</v>
      </c>
      <c r="K171" s="12">
        <v>0</v>
      </c>
      <c r="L171" s="2" t="s">
        <v>225</v>
      </c>
      <c r="M171" s="2" t="s">
        <v>195</v>
      </c>
      <c r="N171">
        <f>Table1[[#This Row],[Quantity]]*Table1[[#This Row],[Unit Price (₹)]]*(1-Table1[[#This Row],[Discount %]])</f>
        <v>3594</v>
      </c>
      <c r="O171" t="str">
        <f>TEXT(Table1[[#This Row],[Order Date]],"mmmm")</f>
        <v>September</v>
      </c>
      <c r="P171" t="str">
        <f>IF(Table1[[#This Row],[Revenue (₹)  ← add]]&gt;=15000,"High Value",IF(Table1[[#This Row],[Revenue (₹)  ← add]]&gt;=5000,"Medium","Low"))</f>
        <v>Low</v>
      </c>
      <c r="Q171">
        <f>VLOOKUP(Table1[[#This Row],[Product]],Table2[],4,FALSE)</f>
        <v>300</v>
      </c>
      <c r="R171">
        <f>Table1[[#This Row],[Revenue (₹)  ← add]]-Table1[[#This Row],[Cost Price  ← add]]</f>
        <v>3294</v>
      </c>
      <c r="S171">
        <f>IF(C171="", "",Table1[[#This Row],[Delivery Date]]-Table1[[#This Row],[Order Date]])</f>
        <v>7</v>
      </c>
      <c r="T171" t="str">
        <f>TEXT(Table1[[#This Row],[Order Date]],"DDDD")</f>
        <v>Sunday</v>
      </c>
    </row>
    <row r="172" spans="1:20" x14ac:dyDescent="0.3">
      <c r="A172" s="2" t="s">
        <v>406</v>
      </c>
      <c r="B172" s="10">
        <v>45928</v>
      </c>
      <c r="C172" s="10">
        <v>45930</v>
      </c>
      <c r="D172" s="2" t="s">
        <v>189</v>
      </c>
      <c r="E172" s="2" t="s">
        <v>190</v>
      </c>
      <c r="F172" s="2" t="s">
        <v>191</v>
      </c>
      <c r="G172" s="2" t="s">
        <v>201</v>
      </c>
      <c r="H172" s="2" t="s">
        <v>250</v>
      </c>
      <c r="I172" s="2">
        <v>2</v>
      </c>
      <c r="J172" s="11">
        <v>5499</v>
      </c>
      <c r="K172" s="12">
        <v>0</v>
      </c>
      <c r="L172" s="2" t="s">
        <v>194</v>
      </c>
      <c r="M172" s="2" t="s">
        <v>195</v>
      </c>
      <c r="N172">
        <f>Table1[[#This Row],[Quantity]]*Table1[[#This Row],[Unit Price (₹)]]*(1-Table1[[#This Row],[Discount %]])</f>
        <v>10998</v>
      </c>
      <c r="O172" t="str">
        <f>TEXT(Table1[[#This Row],[Order Date]],"mmmm")</f>
        <v>September</v>
      </c>
      <c r="P172" t="str">
        <f>IF(Table1[[#This Row],[Revenue (₹)  ← add]]&gt;=15000,"High Value",IF(Table1[[#This Row],[Revenue (₹)  ← add]]&gt;=5000,"Medium","Low"))</f>
        <v>Medium</v>
      </c>
      <c r="Q172">
        <f>VLOOKUP(Table1[[#This Row],[Product]],Table2[],4,FALSE)</f>
        <v>3300</v>
      </c>
      <c r="R172">
        <f>Table1[[#This Row],[Revenue (₹)  ← add]]-Table1[[#This Row],[Cost Price  ← add]]</f>
        <v>7698</v>
      </c>
      <c r="S172">
        <f>IF(C172="", "",Table1[[#This Row],[Delivery Date]]-Table1[[#This Row],[Order Date]])</f>
        <v>2</v>
      </c>
      <c r="T172" t="str">
        <f>TEXT(Table1[[#This Row],[Order Date]],"DDDD")</f>
        <v>Sunday</v>
      </c>
    </row>
    <row r="173" spans="1:20" x14ac:dyDescent="0.3">
      <c r="A173" s="2" t="s">
        <v>407</v>
      </c>
      <c r="B173" s="10">
        <v>45929</v>
      </c>
      <c r="C173" s="10">
        <v>45932</v>
      </c>
      <c r="D173" s="2" t="s">
        <v>189</v>
      </c>
      <c r="E173" s="2" t="s">
        <v>277</v>
      </c>
      <c r="F173" s="2" t="s">
        <v>191</v>
      </c>
      <c r="G173" s="2" t="s">
        <v>198</v>
      </c>
      <c r="H173" s="2" t="s">
        <v>199</v>
      </c>
      <c r="I173" s="2">
        <v>1</v>
      </c>
      <c r="J173" s="11">
        <v>2999</v>
      </c>
      <c r="K173" s="12">
        <v>0.1</v>
      </c>
      <c r="L173" s="2" t="s">
        <v>203</v>
      </c>
      <c r="M173" s="2" t="s">
        <v>195</v>
      </c>
      <c r="N173">
        <f>Table1[[#This Row],[Quantity]]*Table1[[#This Row],[Unit Price (₹)]]*(1-Table1[[#This Row],[Discount %]])</f>
        <v>2699.1</v>
      </c>
      <c r="O173" t="str">
        <f>TEXT(Table1[[#This Row],[Order Date]],"mmmm")</f>
        <v>September</v>
      </c>
      <c r="P173" t="str">
        <f>IF(Table1[[#This Row],[Revenue (₹)  ← add]]&gt;=15000,"High Value",IF(Table1[[#This Row],[Revenue (₹)  ← add]]&gt;=5000,"Medium","Low"))</f>
        <v>Low</v>
      </c>
      <c r="Q173">
        <f>VLOOKUP(Table1[[#This Row],[Product]],Table2[],4,FALSE)</f>
        <v>1700</v>
      </c>
      <c r="R173">
        <f>Table1[[#This Row],[Revenue (₹)  ← add]]-Table1[[#This Row],[Cost Price  ← add]]</f>
        <v>999.09999999999991</v>
      </c>
      <c r="S173">
        <f>IF(C173="", "",Table1[[#This Row],[Delivery Date]]-Table1[[#This Row],[Order Date]])</f>
        <v>3</v>
      </c>
      <c r="T173" t="str">
        <f>TEXT(Table1[[#This Row],[Order Date]],"DDDD")</f>
        <v>Monday</v>
      </c>
    </row>
    <row r="174" spans="1:20" x14ac:dyDescent="0.3">
      <c r="A174" s="2" t="s">
        <v>408</v>
      </c>
      <c r="B174" s="10">
        <v>45930</v>
      </c>
      <c r="C174" s="10">
        <v>45937</v>
      </c>
      <c r="D174" s="2" t="s">
        <v>205</v>
      </c>
      <c r="E174" s="2" t="s">
        <v>206</v>
      </c>
      <c r="F174" s="2" t="s">
        <v>211</v>
      </c>
      <c r="G174" s="2" t="s">
        <v>201</v>
      </c>
      <c r="H174" s="2" t="s">
        <v>250</v>
      </c>
      <c r="I174" s="2">
        <v>3</v>
      </c>
      <c r="J174" s="11">
        <v>5499</v>
      </c>
      <c r="K174" s="12">
        <v>0</v>
      </c>
      <c r="L174" s="2" t="s">
        <v>203</v>
      </c>
      <c r="M174" s="2" t="s">
        <v>195</v>
      </c>
      <c r="N174">
        <f>Table1[[#This Row],[Quantity]]*Table1[[#This Row],[Unit Price (₹)]]*(1-Table1[[#This Row],[Discount %]])</f>
        <v>16497</v>
      </c>
      <c r="O174" t="str">
        <f>TEXT(Table1[[#This Row],[Order Date]],"mmmm")</f>
        <v>September</v>
      </c>
      <c r="P174" t="str">
        <f>IF(Table1[[#This Row],[Revenue (₹)  ← add]]&gt;=15000,"High Value",IF(Table1[[#This Row],[Revenue (₹)  ← add]]&gt;=5000,"Medium","Low"))</f>
        <v>High Value</v>
      </c>
      <c r="Q174">
        <f>VLOOKUP(Table1[[#This Row],[Product]],Table2[],4,FALSE)</f>
        <v>3300</v>
      </c>
      <c r="R174">
        <f>Table1[[#This Row],[Revenue (₹)  ← add]]-Table1[[#This Row],[Cost Price  ← add]]</f>
        <v>13197</v>
      </c>
      <c r="S174">
        <f>IF(C174="", "",Table1[[#This Row],[Delivery Date]]-Table1[[#This Row],[Order Date]])</f>
        <v>7</v>
      </c>
      <c r="T174" t="str">
        <f>TEXT(Table1[[#This Row],[Order Date]],"DDDD")</f>
        <v>Tuesday</v>
      </c>
    </row>
    <row r="175" spans="1:20" x14ac:dyDescent="0.3">
      <c r="A175" s="2" t="s">
        <v>409</v>
      </c>
      <c r="B175" s="10">
        <v>45932</v>
      </c>
      <c r="C175" s="10">
        <v>45936</v>
      </c>
      <c r="D175" s="2" t="s">
        <v>238</v>
      </c>
      <c r="E175" s="2" t="s">
        <v>254</v>
      </c>
      <c r="F175" s="2" t="s">
        <v>240</v>
      </c>
      <c r="G175" s="2" t="s">
        <v>217</v>
      </c>
      <c r="H175" s="2" t="s">
        <v>236</v>
      </c>
      <c r="I175" s="2">
        <v>1</v>
      </c>
      <c r="J175" s="11">
        <v>2499</v>
      </c>
      <c r="K175" s="12">
        <v>0.15</v>
      </c>
      <c r="L175" s="2" t="s">
        <v>203</v>
      </c>
      <c r="M175" s="2" t="s">
        <v>195</v>
      </c>
      <c r="N175">
        <f>Table1[[#This Row],[Quantity]]*Table1[[#This Row],[Unit Price (₹)]]*(1-Table1[[#This Row],[Discount %]])</f>
        <v>2124.15</v>
      </c>
      <c r="O175" t="str">
        <f>TEXT(Table1[[#This Row],[Order Date]],"mmmm")</f>
        <v>October</v>
      </c>
      <c r="P175" t="str">
        <f>IF(Table1[[#This Row],[Revenue (₹)  ← add]]&gt;=15000,"High Value",IF(Table1[[#This Row],[Revenue (₹)  ← add]]&gt;=5000,"Medium","Low"))</f>
        <v>Low</v>
      </c>
      <c r="Q175">
        <f>VLOOKUP(Table1[[#This Row],[Product]],Table2[],4,FALSE)</f>
        <v>1500</v>
      </c>
      <c r="R175">
        <f>Table1[[#This Row],[Revenue (₹)  ← add]]-Table1[[#This Row],[Cost Price  ← add]]</f>
        <v>624.15000000000009</v>
      </c>
      <c r="S175">
        <f>IF(C175="", "",Table1[[#This Row],[Delivery Date]]-Table1[[#This Row],[Order Date]])</f>
        <v>4</v>
      </c>
      <c r="T175" t="str">
        <f>TEXT(Table1[[#This Row],[Order Date]],"DDDD")</f>
        <v>Thursday</v>
      </c>
    </row>
    <row r="176" spans="1:20" x14ac:dyDescent="0.3">
      <c r="A176" s="2" t="s">
        <v>410</v>
      </c>
      <c r="B176" s="10">
        <v>45935</v>
      </c>
      <c r="C176" s="10">
        <v>45940</v>
      </c>
      <c r="D176" s="2" t="s">
        <v>205</v>
      </c>
      <c r="E176" s="2" t="s">
        <v>206</v>
      </c>
      <c r="F176" s="2" t="s">
        <v>211</v>
      </c>
      <c r="G176" s="2" t="s">
        <v>192</v>
      </c>
      <c r="H176" s="2" t="s">
        <v>247</v>
      </c>
      <c r="I176" s="2">
        <v>24</v>
      </c>
      <c r="J176" s="11">
        <v>349</v>
      </c>
      <c r="K176" s="12">
        <v>0</v>
      </c>
      <c r="L176" s="2" t="s">
        <v>214</v>
      </c>
      <c r="M176" s="2" t="s">
        <v>195</v>
      </c>
      <c r="N176">
        <f>Table1[[#This Row],[Quantity]]*Table1[[#This Row],[Unit Price (₹)]]*(1-Table1[[#This Row],[Discount %]])</f>
        <v>8376</v>
      </c>
      <c r="O176" t="str">
        <f>TEXT(Table1[[#This Row],[Order Date]],"mmmm")</f>
        <v>October</v>
      </c>
      <c r="P176" t="str">
        <f>IF(Table1[[#This Row],[Revenue (₹)  ← add]]&gt;=15000,"High Value",IF(Table1[[#This Row],[Revenue (₹)  ← add]]&gt;=5000,"Medium","Low"))</f>
        <v>Medium</v>
      </c>
      <c r="Q176">
        <f>VLOOKUP(Table1[[#This Row],[Product]],Table2[],4,FALSE)</f>
        <v>180</v>
      </c>
      <c r="R176">
        <f>Table1[[#This Row],[Revenue (₹)  ← add]]-Table1[[#This Row],[Cost Price  ← add]]</f>
        <v>8196</v>
      </c>
      <c r="S176">
        <f>IF(C176="", "",Table1[[#This Row],[Delivery Date]]-Table1[[#This Row],[Order Date]])</f>
        <v>5</v>
      </c>
      <c r="T176" t="str">
        <f>TEXT(Table1[[#This Row],[Order Date]],"DDDD")</f>
        <v>Sunday</v>
      </c>
    </row>
    <row r="177" spans="1:20" x14ac:dyDescent="0.3">
      <c r="A177" s="2" t="s">
        <v>411</v>
      </c>
      <c r="B177" s="10">
        <v>45936</v>
      </c>
      <c r="C177" s="10">
        <v>45940</v>
      </c>
      <c r="D177" s="2" t="s">
        <v>238</v>
      </c>
      <c r="E177" s="2" t="s">
        <v>254</v>
      </c>
      <c r="F177" s="2" t="s">
        <v>240</v>
      </c>
      <c r="G177" s="2" t="s">
        <v>201</v>
      </c>
      <c r="H177" s="2" t="s">
        <v>314</v>
      </c>
      <c r="I177" s="2">
        <v>3</v>
      </c>
      <c r="J177" s="11">
        <v>6999</v>
      </c>
      <c r="K177" s="12">
        <v>0.05</v>
      </c>
      <c r="L177" s="2" t="s">
        <v>229</v>
      </c>
      <c r="M177" s="2" t="s">
        <v>195</v>
      </c>
      <c r="N177">
        <f>Table1[[#This Row],[Quantity]]*Table1[[#This Row],[Unit Price (₹)]]*(1-Table1[[#This Row],[Discount %]])</f>
        <v>19947.149999999998</v>
      </c>
      <c r="O177" t="str">
        <f>TEXT(Table1[[#This Row],[Order Date]],"mmmm")</f>
        <v>October</v>
      </c>
      <c r="P177" t="str">
        <f>IF(Table1[[#This Row],[Revenue (₹)  ← add]]&gt;=15000,"High Value",IF(Table1[[#This Row],[Revenue (₹)  ← add]]&gt;=5000,"Medium","Low"))</f>
        <v>High Value</v>
      </c>
      <c r="Q177">
        <f>VLOOKUP(Table1[[#This Row],[Product]],Table2[],4,FALSE)</f>
        <v>4200</v>
      </c>
      <c r="R177">
        <f>Table1[[#This Row],[Revenue (₹)  ← add]]-Table1[[#This Row],[Cost Price  ← add]]</f>
        <v>15747.149999999998</v>
      </c>
      <c r="S177">
        <f>IF(C177="", "",Table1[[#This Row],[Delivery Date]]-Table1[[#This Row],[Order Date]])</f>
        <v>4</v>
      </c>
      <c r="T177" t="str">
        <f>TEXT(Table1[[#This Row],[Order Date]],"DDDD")</f>
        <v>Monday</v>
      </c>
    </row>
    <row r="178" spans="1:20" x14ac:dyDescent="0.3">
      <c r="A178" s="2" t="s">
        <v>412</v>
      </c>
      <c r="B178" s="10">
        <v>45936</v>
      </c>
      <c r="C178" s="10">
        <v>45942</v>
      </c>
      <c r="D178" s="2" t="s">
        <v>189</v>
      </c>
      <c r="E178" s="2" t="s">
        <v>190</v>
      </c>
      <c r="F178" s="2" t="s">
        <v>213</v>
      </c>
      <c r="G178" s="2" t="s">
        <v>192</v>
      </c>
      <c r="H178" s="2" t="s">
        <v>247</v>
      </c>
      <c r="I178" s="2">
        <v>7</v>
      </c>
      <c r="J178" s="11">
        <v>349</v>
      </c>
      <c r="K178" s="12">
        <v>0</v>
      </c>
      <c r="L178" s="2" t="s">
        <v>194</v>
      </c>
      <c r="M178" s="2" t="s">
        <v>195</v>
      </c>
      <c r="N178">
        <f>Table1[[#This Row],[Quantity]]*Table1[[#This Row],[Unit Price (₹)]]*(1-Table1[[#This Row],[Discount %]])</f>
        <v>2443</v>
      </c>
      <c r="O178" t="str">
        <f>TEXT(Table1[[#This Row],[Order Date]],"mmmm")</f>
        <v>October</v>
      </c>
      <c r="P178" t="str">
        <f>IF(Table1[[#This Row],[Revenue (₹)  ← add]]&gt;=15000,"High Value",IF(Table1[[#This Row],[Revenue (₹)  ← add]]&gt;=5000,"Medium","Low"))</f>
        <v>Low</v>
      </c>
      <c r="Q178">
        <f>VLOOKUP(Table1[[#This Row],[Product]],Table2[],4,FALSE)</f>
        <v>180</v>
      </c>
      <c r="R178">
        <f>Table1[[#This Row],[Revenue (₹)  ← add]]-Table1[[#This Row],[Cost Price  ← add]]</f>
        <v>2263</v>
      </c>
      <c r="S178">
        <f>IF(C178="", "",Table1[[#This Row],[Delivery Date]]-Table1[[#This Row],[Order Date]])</f>
        <v>6</v>
      </c>
      <c r="T178" t="str">
        <f>TEXT(Table1[[#This Row],[Order Date]],"DDDD")</f>
        <v>Monday</v>
      </c>
    </row>
    <row r="179" spans="1:20" x14ac:dyDescent="0.3">
      <c r="A179" s="2" t="s">
        <v>413</v>
      </c>
      <c r="B179" s="10">
        <v>45937</v>
      </c>
      <c r="C179" s="10">
        <v>45943</v>
      </c>
      <c r="D179" s="2" t="s">
        <v>238</v>
      </c>
      <c r="E179" s="2" t="s">
        <v>254</v>
      </c>
      <c r="F179" s="2" t="s">
        <v>244</v>
      </c>
      <c r="G179" s="2" t="s">
        <v>192</v>
      </c>
      <c r="H179" s="2" t="s">
        <v>234</v>
      </c>
      <c r="I179" s="2">
        <v>15</v>
      </c>
      <c r="J179" s="11">
        <v>599</v>
      </c>
      <c r="K179" s="12">
        <v>0.2</v>
      </c>
      <c r="L179" s="2" t="s">
        <v>229</v>
      </c>
      <c r="M179" s="2" t="s">
        <v>195</v>
      </c>
      <c r="N179">
        <f>Table1[[#This Row],[Quantity]]*Table1[[#This Row],[Unit Price (₹)]]*(1-Table1[[#This Row],[Discount %]])</f>
        <v>7188</v>
      </c>
      <c r="O179" t="str">
        <f>TEXT(Table1[[#This Row],[Order Date]],"mmmm")</f>
        <v>October</v>
      </c>
      <c r="P179" t="str">
        <f>IF(Table1[[#This Row],[Revenue (₹)  ← add]]&gt;=15000,"High Value",IF(Table1[[#This Row],[Revenue (₹)  ← add]]&gt;=5000,"Medium","Low"))</f>
        <v>Medium</v>
      </c>
      <c r="Q179">
        <f>VLOOKUP(Table1[[#This Row],[Product]],Table2[],4,FALSE)</f>
        <v>320</v>
      </c>
      <c r="R179">
        <f>Table1[[#This Row],[Revenue (₹)  ← add]]-Table1[[#This Row],[Cost Price  ← add]]</f>
        <v>6868</v>
      </c>
      <c r="S179">
        <f>IF(C179="", "",Table1[[#This Row],[Delivery Date]]-Table1[[#This Row],[Order Date]])</f>
        <v>6</v>
      </c>
      <c r="T179" t="str">
        <f>TEXT(Table1[[#This Row],[Order Date]],"DDDD")</f>
        <v>Tuesday</v>
      </c>
    </row>
    <row r="180" spans="1:20" x14ac:dyDescent="0.3">
      <c r="A180" s="2" t="s">
        <v>414</v>
      </c>
      <c r="B180" s="10">
        <v>45938</v>
      </c>
      <c r="C180" s="10">
        <v>45940</v>
      </c>
      <c r="D180" s="2" t="s">
        <v>189</v>
      </c>
      <c r="E180" s="2" t="s">
        <v>277</v>
      </c>
      <c r="F180" s="2" t="s">
        <v>191</v>
      </c>
      <c r="G180" s="2" t="s">
        <v>201</v>
      </c>
      <c r="H180" s="2" t="s">
        <v>202</v>
      </c>
      <c r="I180" s="2">
        <v>2</v>
      </c>
      <c r="J180" s="11">
        <v>8499</v>
      </c>
      <c r="K180" s="12">
        <v>0</v>
      </c>
      <c r="L180" s="2" t="s">
        <v>214</v>
      </c>
      <c r="M180" s="2" t="s">
        <v>195</v>
      </c>
      <c r="N180">
        <f>Table1[[#This Row],[Quantity]]*Table1[[#This Row],[Unit Price (₹)]]*(1-Table1[[#This Row],[Discount %]])</f>
        <v>16998</v>
      </c>
      <c r="O180" t="str">
        <f>TEXT(Table1[[#This Row],[Order Date]],"mmmm")</f>
        <v>October</v>
      </c>
      <c r="P180" t="str">
        <f>IF(Table1[[#This Row],[Revenue (₹)  ← add]]&gt;=15000,"High Value",IF(Table1[[#This Row],[Revenue (₹)  ← add]]&gt;=5000,"Medium","Low"))</f>
        <v>High Value</v>
      </c>
      <c r="Q180">
        <f>VLOOKUP(Table1[[#This Row],[Product]],Table2[],4,FALSE)</f>
        <v>5200</v>
      </c>
      <c r="R180">
        <f>Table1[[#This Row],[Revenue (₹)  ← add]]-Table1[[#This Row],[Cost Price  ← add]]</f>
        <v>11798</v>
      </c>
      <c r="S180">
        <f>IF(C180="", "",Table1[[#This Row],[Delivery Date]]-Table1[[#This Row],[Order Date]])</f>
        <v>2</v>
      </c>
      <c r="T180" t="str">
        <f>TEXT(Table1[[#This Row],[Order Date]],"DDDD")</f>
        <v>Wednesday</v>
      </c>
    </row>
    <row r="181" spans="1:20" x14ac:dyDescent="0.3">
      <c r="A181" s="2" t="s">
        <v>415</v>
      </c>
      <c r="B181" s="10">
        <v>45941</v>
      </c>
      <c r="C181" s="10">
        <v>45949</v>
      </c>
      <c r="D181" s="2" t="s">
        <v>238</v>
      </c>
      <c r="E181" s="2" t="s">
        <v>254</v>
      </c>
      <c r="F181" s="2" t="s">
        <v>244</v>
      </c>
      <c r="G181" s="2" t="s">
        <v>201</v>
      </c>
      <c r="H181" s="2" t="s">
        <v>250</v>
      </c>
      <c r="I181" s="2">
        <v>1</v>
      </c>
      <c r="J181" s="11">
        <v>5499</v>
      </c>
      <c r="K181" s="12">
        <v>0</v>
      </c>
      <c r="L181" s="2" t="s">
        <v>203</v>
      </c>
      <c r="M181" s="2" t="s">
        <v>195</v>
      </c>
      <c r="N181">
        <f>Table1[[#This Row],[Quantity]]*Table1[[#This Row],[Unit Price (₹)]]*(1-Table1[[#This Row],[Discount %]])</f>
        <v>5499</v>
      </c>
      <c r="O181" t="str">
        <f>TEXT(Table1[[#This Row],[Order Date]],"mmmm")</f>
        <v>October</v>
      </c>
      <c r="P181" t="str">
        <f>IF(Table1[[#This Row],[Revenue (₹)  ← add]]&gt;=15000,"High Value",IF(Table1[[#This Row],[Revenue (₹)  ← add]]&gt;=5000,"Medium","Low"))</f>
        <v>Medium</v>
      </c>
      <c r="Q181">
        <f>VLOOKUP(Table1[[#This Row],[Product]],Table2[],4,FALSE)</f>
        <v>3300</v>
      </c>
      <c r="R181">
        <f>Table1[[#This Row],[Revenue (₹)  ← add]]-Table1[[#This Row],[Cost Price  ← add]]</f>
        <v>2199</v>
      </c>
      <c r="S181">
        <f>IF(C181="", "",Table1[[#This Row],[Delivery Date]]-Table1[[#This Row],[Order Date]])</f>
        <v>8</v>
      </c>
      <c r="T181" t="str">
        <f>TEXT(Table1[[#This Row],[Order Date]],"DDDD")</f>
        <v>Saturday</v>
      </c>
    </row>
    <row r="182" spans="1:20" x14ac:dyDescent="0.3">
      <c r="A182" s="2" t="s">
        <v>416</v>
      </c>
      <c r="B182" s="10">
        <v>45941</v>
      </c>
      <c r="C182" s="10">
        <v>45947</v>
      </c>
      <c r="D182" s="2" t="s">
        <v>189</v>
      </c>
      <c r="E182" s="2" t="s">
        <v>197</v>
      </c>
      <c r="F182" s="2" t="s">
        <v>191</v>
      </c>
      <c r="G182" s="2" t="s">
        <v>217</v>
      </c>
      <c r="H182" s="2" t="s">
        <v>218</v>
      </c>
      <c r="I182" s="2">
        <v>2</v>
      </c>
      <c r="J182" s="11">
        <v>1499</v>
      </c>
      <c r="K182" s="12">
        <v>0.2</v>
      </c>
      <c r="L182" s="2" t="s">
        <v>203</v>
      </c>
      <c r="M182" s="2" t="s">
        <v>195</v>
      </c>
      <c r="N182">
        <f>Table1[[#This Row],[Quantity]]*Table1[[#This Row],[Unit Price (₹)]]*(1-Table1[[#This Row],[Discount %]])</f>
        <v>2398.4</v>
      </c>
      <c r="O182" t="str">
        <f>TEXT(Table1[[#This Row],[Order Date]],"mmmm")</f>
        <v>October</v>
      </c>
      <c r="P182" t="str">
        <f>IF(Table1[[#This Row],[Revenue (₹)  ← add]]&gt;=15000,"High Value",IF(Table1[[#This Row],[Revenue (₹)  ← add]]&gt;=5000,"Medium","Low"))</f>
        <v>Low</v>
      </c>
      <c r="Q182">
        <f>VLOOKUP(Table1[[#This Row],[Product]],Table2[],4,FALSE)</f>
        <v>850</v>
      </c>
      <c r="R182">
        <f>Table1[[#This Row],[Revenue (₹)  ← add]]-Table1[[#This Row],[Cost Price  ← add]]</f>
        <v>1548.4</v>
      </c>
      <c r="S182">
        <f>IF(C182="", "",Table1[[#This Row],[Delivery Date]]-Table1[[#This Row],[Order Date]])</f>
        <v>6</v>
      </c>
      <c r="T182" t="str">
        <f>TEXT(Table1[[#This Row],[Order Date]],"DDDD")</f>
        <v>Saturday</v>
      </c>
    </row>
    <row r="183" spans="1:20" x14ac:dyDescent="0.3">
      <c r="A183" s="2" t="s">
        <v>417</v>
      </c>
      <c r="B183" s="10">
        <v>45941</v>
      </c>
      <c r="C183" s="10">
        <v>45944</v>
      </c>
      <c r="D183" s="2" t="s">
        <v>189</v>
      </c>
      <c r="E183" s="2" t="s">
        <v>197</v>
      </c>
      <c r="F183" s="2" t="s">
        <v>213</v>
      </c>
      <c r="G183" s="2" t="s">
        <v>201</v>
      </c>
      <c r="H183" s="2" t="s">
        <v>250</v>
      </c>
      <c r="I183" s="2">
        <v>2</v>
      </c>
      <c r="J183" s="11">
        <v>5499</v>
      </c>
      <c r="K183" s="12">
        <v>0.05</v>
      </c>
      <c r="L183" s="2" t="s">
        <v>203</v>
      </c>
      <c r="M183" s="2" t="s">
        <v>195</v>
      </c>
      <c r="N183">
        <f>Table1[[#This Row],[Quantity]]*Table1[[#This Row],[Unit Price (₹)]]*(1-Table1[[#This Row],[Discount %]])</f>
        <v>10448.1</v>
      </c>
      <c r="O183" t="str">
        <f>TEXT(Table1[[#This Row],[Order Date]],"mmmm")</f>
        <v>October</v>
      </c>
      <c r="P183" t="str">
        <f>IF(Table1[[#This Row],[Revenue (₹)  ← add]]&gt;=15000,"High Value",IF(Table1[[#This Row],[Revenue (₹)  ← add]]&gt;=5000,"Medium","Low"))</f>
        <v>Medium</v>
      </c>
      <c r="Q183">
        <f>VLOOKUP(Table1[[#This Row],[Product]],Table2[],4,FALSE)</f>
        <v>3300</v>
      </c>
      <c r="R183">
        <f>Table1[[#This Row],[Revenue (₹)  ← add]]-Table1[[#This Row],[Cost Price  ← add]]</f>
        <v>7148.1</v>
      </c>
      <c r="S183">
        <f>IF(C183="", "",Table1[[#This Row],[Delivery Date]]-Table1[[#This Row],[Order Date]])</f>
        <v>3</v>
      </c>
      <c r="T183" t="str">
        <f>TEXT(Table1[[#This Row],[Order Date]],"DDDD")</f>
        <v>Saturday</v>
      </c>
    </row>
    <row r="184" spans="1:20" x14ac:dyDescent="0.3">
      <c r="A184" s="2" t="s">
        <v>418</v>
      </c>
      <c r="B184" s="10">
        <v>45944</v>
      </c>
      <c r="C184" s="10">
        <v>45948</v>
      </c>
      <c r="D184" s="2" t="s">
        <v>222</v>
      </c>
      <c r="E184" s="2" t="s">
        <v>231</v>
      </c>
      <c r="F184" s="2" t="s">
        <v>224</v>
      </c>
      <c r="G184" s="2" t="s">
        <v>217</v>
      </c>
      <c r="H184" s="2" t="s">
        <v>255</v>
      </c>
      <c r="I184" s="2">
        <v>1</v>
      </c>
      <c r="J184" s="11">
        <v>1999</v>
      </c>
      <c r="K184" s="12">
        <v>0.1</v>
      </c>
      <c r="L184" s="2" t="s">
        <v>229</v>
      </c>
      <c r="M184" s="2" t="s">
        <v>195</v>
      </c>
      <c r="N184">
        <f>Table1[[#This Row],[Quantity]]*Table1[[#This Row],[Unit Price (₹)]]*(1-Table1[[#This Row],[Discount %]])</f>
        <v>1799.1000000000001</v>
      </c>
      <c r="O184" t="str">
        <f>TEXT(Table1[[#This Row],[Order Date]],"mmmm")</f>
        <v>October</v>
      </c>
      <c r="P184" t="str">
        <f>IF(Table1[[#This Row],[Revenue (₹)  ← add]]&gt;=15000,"High Value",IF(Table1[[#This Row],[Revenue (₹)  ← add]]&gt;=5000,"Medium","Low"))</f>
        <v>Low</v>
      </c>
      <c r="Q184">
        <f>VLOOKUP(Table1[[#This Row],[Product]],Table2[],4,FALSE)</f>
        <v>1100</v>
      </c>
      <c r="R184">
        <f>Table1[[#This Row],[Revenue (₹)  ← add]]-Table1[[#This Row],[Cost Price  ← add]]</f>
        <v>699.10000000000014</v>
      </c>
      <c r="S184">
        <f>IF(C184="", "",Table1[[#This Row],[Delivery Date]]-Table1[[#This Row],[Order Date]])</f>
        <v>4</v>
      </c>
      <c r="T184" t="str">
        <f>TEXT(Table1[[#This Row],[Order Date]],"DDDD")</f>
        <v>Tuesday</v>
      </c>
    </row>
    <row r="185" spans="1:20" x14ac:dyDescent="0.3">
      <c r="A185" s="2" t="s">
        <v>419</v>
      </c>
      <c r="B185" s="10">
        <v>45946</v>
      </c>
      <c r="C185" s="10">
        <v>45949</v>
      </c>
      <c r="D185" s="2" t="s">
        <v>189</v>
      </c>
      <c r="E185" s="2" t="s">
        <v>277</v>
      </c>
      <c r="F185" s="2" t="s">
        <v>191</v>
      </c>
      <c r="G185" s="2" t="s">
        <v>217</v>
      </c>
      <c r="H185" s="2" t="s">
        <v>236</v>
      </c>
      <c r="I185" s="2">
        <v>1</v>
      </c>
      <c r="J185" s="11">
        <v>2499</v>
      </c>
      <c r="K185" s="12">
        <v>0.1</v>
      </c>
      <c r="L185" s="2" t="s">
        <v>229</v>
      </c>
      <c r="M185" s="2" t="s">
        <v>195</v>
      </c>
      <c r="N185">
        <f>Table1[[#This Row],[Quantity]]*Table1[[#This Row],[Unit Price (₹)]]*(1-Table1[[#This Row],[Discount %]])</f>
        <v>2249.1</v>
      </c>
      <c r="O185" t="str">
        <f>TEXT(Table1[[#This Row],[Order Date]],"mmmm")</f>
        <v>October</v>
      </c>
      <c r="P185" t="str">
        <f>IF(Table1[[#This Row],[Revenue (₹)  ← add]]&gt;=15000,"High Value",IF(Table1[[#This Row],[Revenue (₹)  ← add]]&gt;=5000,"Medium","Low"))</f>
        <v>Low</v>
      </c>
      <c r="Q185">
        <f>VLOOKUP(Table1[[#This Row],[Product]],Table2[],4,FALSE)</f>
        <v>1500</v>
      </c>
      <c r="R185">
        <f>Table1[[#This Row],[Revenue (₹)  ← add]]-Table1[[#This Row],[Cost Price  ← add]]</f>
        <v>749.09999999999991</v>
      </c>
      <c r="S185">
        <f>IF(C185="", "",Table1[[#This Row],[Delivery Date]]-Table1[[#This Row],[Order Date]])</f>
        <v>3</v>
      </c>
      <c r="T185" t="str">
        <f>TEXT(Table1[[#This Row],[Order Date]],"DDDD")</f>
        <v>Thursday</v>
      </c>
    </row>
    <row r="186" spans="1:20" x14ac:dyDescent="0.3">
      <c r="A186" s="2" t="s">
        <v>420</v>
      </c>
      <c r="B186" s="10">
        <v>45947</v>
      </c>
      <c r="C186" s="10">
        <v>45949</v>
      </c>
      <c r="D186" s="2" t="s">
        <v>238</v>
      </c>
      <c r="E186" s="2" t="s">
        <v>239</v>
      </c>
      <c r="F186" s="2" t="s">
        <v>244</v>
      </c>
      <c r="G186" s="2" t="s">
        <v>201</v>
      </c>
      <c r="H186" s="2" t="s">
        <v>202</v>
      </c>
      <c r="I186" s="2">
        <v>1</v>
      </c>
      <c r="J186" s="11">
        <v>8499</v>
      </c>
      <c r="K186" s="12">
        <v>0.05</v>
      </c>
      <c r="L186" s="2" t="s">
        <v>229</v>
      </c>
      <c r="M186" s="2" t="s">
        <v>195</v>
      </c>
      <c r="N186">
        <f>Table1[[#This Row],[Quantity]]*Table1[[#This Row],[Unit Price (₹)]]*(1-Table1[[#This Row],[Discount %]])</f>
        <v>8074.0499999999993</v>
      </c>
      <c r="O186" t="str">
        <f>TEXT(Table1[[#This Row],[Order Date]],"mmmm")</f>
        <v>October</v>
      </c>
      <c r="P186" t="str">
        <f>IF(Table1[[#This Row],[Revenue (₹)  ← add]]&gt;=15000,"High Value",IF(Table1[[#This Row],[Revenue (₹)  ← add]]&gt;=5000,"Medium","Low"))</f>
        <v>Medium</v>
      </c>
      <c r="Q186">
        <f>VLOOKUP(Table1[[#This Row],[Product]],Table2[],4,FALSE)</f>
        <v>5200</v>
      </c>
      <c r="R186">
        <f>Table1[[#This Row],[Revenue (₹)  ← add]]-Table1[[#This Row],[Cost Price  ← add]]</f>
        <v>2874.0499999999993</v>
      </c>
      <c r="S186">
        <f>IF(C186="", "",Table1[[#This Row],[Delivery Date]]-Table1[[#This Row],[Order Date]])</f>
        <v>2</v>
      </c>
      <c r="T186" t="str">
        <f>TEXT(Table1[[#This Row],[Order Date]],"DDDD")</f>
        <v>Friday</v>
      </c>
    </row>
    <row r="187" spans="1:20" x14ac:dyDescent="0.3">
      <c r="A187" s="2" t="s">
        <v>421</v>
      </c>
      <c r="B187" s="10">
        <v>45947</v>
      </c>
      <c r="C187" s="10">
        <v>45952</v>
      </c>
      <c r="D187" s="2" t="s">
        <v>238</v>
      </c>
      <c r="E187" s="2" t="s">
        <v>243</v>
      </c>
      <c r="F187" s="2" t="s">
        <v>244</v>
      </c>
      <c r="G187" s="2" t="s">
        <v>217</v>
      </c>
      <c r="H187" s="2" t="s">
        <v>218</v>
      </c>
      <c r="I187" s="2">
        <v>6</v>
      </c>
      <c r="J187" s="11">
        <v>1499</v>
      </c>
      <c r="K187" s="12">
        <v>0.1</v>
      </c>
      <c r="L187" s="2" t="s">
        <v>194</v>
      </c>
      <c r="M187" s="2" t="s">
        <v>195</v>
      </c>
      <c r="N187">
        <f>Table1[[#This Row],[Quantity]]*Table1[[#This Row],[Unit Price (₹)]]*(1-Table1[[#This Row],[Discount %]])</f>
        <v>8094.6</v>
      </c>
      <c r="O187" t="str">
        <f>TEXT(Table1[[#This Row],[Order Date]],"mmmm")</f>
        <v>October</v>
      </c>
      <c r="P187" t="str">
        <f>IF(Table1[[#This Row],[Revenue (₹)  ← add]]&gt;=15000,"High Value",IF(Table1[[#This Row],[Revenue (₹)  ← add]]&gt;=5000,"Medium","Low"))</f>
        <v>Medium</v>
      </c>
      <c r="Q187">
        <f>VLOOKUP(Table1[[#This Row],[Product]],Table2[],4,FALSE)</f>
        <v>850</v>
      </c>
      <c r="R187">
        <f>Table1[[#This Row],[Revenue (₹)  ← add]]-Table1[[#This Row],[Cost Price  ← add]]</f>
        <v>7244.6</v>
      </c>
      <c r="S187">
        <f>IF(C187="", "",Table1[[#This Row],[Delivery Date]]-Table1[[#This Row],[Order Date]])</f>
        <v>5</v>
      </c>
      <c r="T187" t="str">
        <f>TEXT(Table1[[#This Row],[Order Date]],"DDDD")</f>
        <v>Friday</v>
      </c>
    </row>
    <row r="188" spans="1:20" x14ac:dyDescent="0.3">
      <c r="A188" s="2" t="s">
        <v>422</v>
      </c>
      <c r="B188" s="10">
        <v>45949</v>
      </c>
      <c r="C188" s="10">
        <v>45954</v>
      </c>
      <c r="D188" s="2" t="s">
        <v>205</v>
      </c>
      <c r="E188" s="2" t="s">
        <v>227</v>
      </c>
      <c r="F188" s="2" t="s">
        <v>207</v>
      </c>
      <c r="G188" s="2" t="s">
        <v>192</v>
      </c>
      <c r="H188" s="2" t="s">
        <v>234</v>
      </c>
      <c r="I188" s="2">
        <v>5</v>
      </c>
      <c r="J188" s="11">
        <v>599</v>
      </c>
      <c r="K188" s="12">
        <v>0.05</v>
      </c>
      <c r="L188" s="2" t="s">
        <v>203</v>
      </c>
      <c r="M188" s="2" t="s">
        <v>195</v>
      </c>
      <c r="N188">
        <f>Table1[[#This Row],[Quantity]]*Table1[[#This Row],[Unit Price (₹)]]*(1-Table1[[#This Row],[Discount %]])</f>
        <v>2845.25</v>
      </c>
      <c r="O188" t="str">
        <f>TEXT(Table1[[#This Row],[Order Date]],"mmmm")</f>
        <v>October</v>
      </c>
      <c r="P188" t="str">
        <f>IF(Table1[[#This Row],[Revenue (₹)  ← add]]&gt;=15000,"High Value",IF(Table1[[#This Row],[Revenue (₹)  ← add]]&gt;=5000,"Medium","Low"))</f>
        <v>Low</v>
      </c>
      <c r="Q188">
        <f>VLOOKUP(Table1[[#This Row],[Product]],Table2[],4,FALSE)</f>
        <v>320</v>
      </c>
      <c r="R188">
        <f>Table1[[#This Row],[Revenue (₹)  ← add]]-Table1[[#This Row],[Cost Price  ← add]]</f>
        <v>2525.25</v>
      </c>
      <c r="S188">
        <f>IF(C188="", "",Table1[[#This Row],[Delivery Date]]-Table1[[#This Row],[Order Date]])</f>
        <v>5</v>
      </c>
      <c r="T188" t="str">
        <f>TEXT(Table1[[#This Row],[Order Date]],"DDDD")</f>
        <v>Sunday</v>
      </c>
    </row>
    <row r="189" spans="1:20" x14ac:dyDescent="0.3">
      <c r="A189" s="2" t="s">
        <v>423</v>
      </c>
      <c r="B189" s="10">
        <v>45951</v>
      </c>
      <c r="C189" s="10">
        <v>45958</v>
      </c>
      <c r="D189" s="2" t="s">
        <v>222</v>
      </c>
      <c r="E189" s="2" t="s">
        <v>223</v>
      </c>
      <c r="F189" s="2" t="s">
        <v>224</v>
      </c>
      <c r="G189" s="2" t="s">
        <v>192</v>
      </c>
      <c r="H189" s="2" t="s">
        <v>247</v>
      </c>
      <c r="I189" s="2">
        <v>23</v>
      </c>
      <c r="J189" s="11">
        <v>349</v>
      </c>
      <c r="K189" s="12">
        <v>0.2</v>
      </c>
      <c r="L189" s="2" t="s">
        <v>225</v>
      </c>
      <c r="M189" s="2" t="s">
        <v>219</v>
      </c>
      <c r="N189">
        <f>Table1[[#This Row],[Quantity]]*Table1[[#This Row],[Unit Price (₹)]]*(1-Table1[[#This Row],[Discount %]])</f>
        <v>6421.6</v>
      </c>
      <c r="O189" t="str">
        <f>TEXT(Table1[[#This Row],[Order Date]],"mmmm")</f>
        <v>October</v>
      </c>
      <c r="P189" t="str">
        <f>IF(Table1[[#This Row],[Revenue (₹)  ← add]]&gt;=15000,"High Value",IF(Table1[[#This Row],[Revenue (₹)  ← add]]&gt;=5000,"Medium","Low"))</f>
        <v>Medium</v>
      </c>
      <c r="Q189">
        <f>VLOOKUP(Table1[[#This Row],[Product]],Table2[],4,FALSE)</f>
        <v>180</v>
      </c>
      <c r="R189">
        <f>Table1[[#This Row],[Revenue (₹)  ← add]]-Table1[[#This Row],[Cost Price  ← add]]</f>
        <v>6241.6</v>
      </c>
      <c r="S189">
        <f>IF(C189="", "",Table1[[#This Row],[Delivery Date]]-Table1[[#This Row],[Order Date]])</f>
        <v>7</v>
      </c>
      <c r="T189" t="str">
        <f>TEXT(Table1[[#This Row],[Order Date]],"DDDD")</f>
        <v>Tuesday</v>
      </c>
    </row>
    <row r="190" spans="1:20" x14ac:dyDescent="0.3">
      <c r="A190" s="2" t="s">
        <v>424</v>
      </c>
      <c r="B190" s="10">
        <v>45951</v>
      </c>
      <c r="C190" s="10">
        <v>45956</v>
      </c>
      <c r="D190" s="2" t="s">
        <v>222</v>
      </c>
      <c r="E190" s="2" t="s">
        <v>231</v>
      </c>
      <c r="F190" s="2" t="s">
        <v>224</v>
      </c>
      <c r="G190" s="2" t="s">
        <v>192</v>
      </c>
      <c r="H190" s="2" t="s">
        <v>193</v>
      </c>
      <c r="I190" s="2">
        <v>16</v>
      </c>
      <c r="J190" s="11">
        <v>249</v>
      </c>
      <c r="K190" s="12">
        <v>0</v>
      </c>
      <c r="L190" s="2" t="s">
        <v>214</v>
      </c>
      <c r="M190" s="2" t="s">
        <v>195</v>
      </c>
      <c r="N190">
        <f>Table1[[#This Row],[Quantity]]*Table1[[#This Row],[Unit Price (₹)]]*(1-Table1[[#This Row],[Discount %]])</f>
        <v>3984</v>
      </c>
      <c r="O190" t="str">
        <f>TEXT(Table1[[#This Row],[Order Date]],"mmmm")</f>
        <v>October</v>
      </c>
      <c r="P190" t="str">
        <f>IF(Table1[[#This Row],[Revenue (₹)  ← add]]&gt;=15000,"High Value",IF(Table1[[#This Row],[Revenue (₹)  ← add]]&gt;=5000,"Medium","Low"))</f>
        <v>Low</v>
      </c>
      <c r="Q190">
        <f>VLOOKUP(Table1[[#This Row],[Product]],Table2[],4,FALSE)</f>
        <v>120</v>
      </c>
      <c r="R190">
        <f>Table1[[#This Row],[Revenue (₹)  ← add]]-Table1[[#This Row],[Cost Price  ← add]]</f>
        <v>3864</v>
      </c>
      <c r="S190">
        <f>IF(C190="", "",Table1[[#This Row],[Delivery Date]]-Table1[[#This Row],[Order Date]])</f>
        <v>5</v>
      </c>
      <c r="T190" t="str">
        <f>TEXT(Table1[[#This Row],[Order Date]],"DDDD")</f>
        <v>Tuesday</v>
      </c>
    </row>
    <row r="191" spans="1:20" x14ac:dyDescent="0.3">
      <c r="A191" s="2" t="s">
        <v>425</v>
      </c>
      <c r="B191" s="10">
        <v>45952</v>
      </c>
      <c r="C191" s="10">
        <v>45960</v>
      </c>
      <c r="D191" s="2" t="s">
        <v>189</v>
      </c>
      <c r="E191" s="2" t="s">
        <v>277</v>
      </c>
      <c r="F191" s="2" t="s">
        <v>213</v>
      </c>
      <c r="G191" s="2" t="s">
        <v>217</v>
      </c>
      <c r="H191" s="2" t="s">
        <v>236</v>
      </c>
      <c r="I191" s="2">
        <v>1</v>
      </c>
      <c r="J191" s="11">
        <v>2499</v>
      </c>
      <c r="K191" s="12">
        <v>0.2</v>
      </c>
      <c r="L191" s="2" t="s">
        <v>194</v>
      </c>
      <c r="M191" s="2" t="s">
        <v>195</v>
      </c>
      <c r="N191">
        <f>Table1[[#This Row],[Quantity]]*Table1[[#This Row],[Unit Price (₹)]]*(1-Table1[[#This Row],[Discount %]])</f>
        <v>1999.2</v>
      </c>
      <c r="O191" t="str">
        <f>TEXT(Table1[[#This Row],[Order Date]],"mmmm")</f>
        <v>October</v>
      </c>
      <c r="P191" t="str">
        <f>IF(Table1[[#This Row],[Revenue (₹)  ← add]]&gt;=15000,"High Value",IF(Table1[[#This Row],[Revenue (₹)  ← add]]&gt;=5000,"Medium","Low"))</f>
        <v>Low</v>
      </c>
      <c r="Q191">
        <f>VLOOKUP(Table1[[#This Row],[Product]],Table2[],4,FALSE)</f>
        <v>1500</v>
      </c>
      <c r="R191">
        <f>Table1[[#This Row],[Revenue (₹)  ← add]]-Table1[[#This Row],[Cost Price  ← add]]</f>
        <v>499.20000000000005</v>
      </c>
      <c r="S191">
        <f>IF(C191="", "",Table1[[#This Row],[Delivery Date]]-Table1[[#This Row],[Order Date]])</f>
        <v>8</v>
      </c>
      <c r="T191" t="str">
        <f>TEXT(Table1[[#This Row],[Order Date]],"DDDD")</f>
        <v>Wednesday</v>
      </c>
    </row>
    <row r="192" spans="1:20" x14ac:dyDescent="0.3">
      <c r="A192" s="2" t="s">
        <v>426</v>
      </c>
      <c r="B192" s="10">
        <v>45952</v>
      </c>
      <c r="C192" s="10"/>
      <c r="D192" s="2" t="s">
        <v>238</v>
      </c>
      <c r="E192" s="2" t="s">
        <v>243</v>
      </c>
      <c r="F192" s="2" t="s">
        <v>244</v>
      </c>
      <c r="G192" s="2" t="s">
        <v>192</v>
      </c>
      <c r="H192" s="2" t="s">
        <v>247</v>
      </c>
      <c r="I192" s="2">
        <v>17</v>
      </c>
      <c r="J192" s="11">
        <v>349</v>
      </c>
      <c r="K192" s="12">
        <v>0.15</v>
      </c>
      <c r="L192" s="2" t="s">
        <v>203</v>
      </c>
      <c r="M192" s="2" t="s">
        <v>215</v>
      </c>
      <c r="N192">
        <f>Table1[[#This Row],[Quantity]]*Table1[[#This Row],[Unit Price (₹)]]*(1-Table1[[#This Row],[Discount %]])</f>
        <v>5043.05</v>
      </c>
      <c r="O192" t="str">
        <f>TEXT(Table1[[#This Row],[Order Date]],"mmmm")</f>
        <v>October</v>
      </c>
      <c r="P192" t="str">
        <f>IF(Table1[[#This Row],[Revenue (₹)  ← add]]&gt;=15000,"High Value",IF(Table1[[#This Row],[Revenue (₹)  ← add]]&gt;=5000,"Medium","Low"))</f>
        <v>Medium</v>
      </c>
      <c r="Q192">
        <f>VLOOKUP(Table1[[#This Row],[Product]],Table2[],4,FALSE)</f>
        <v>180</v>
      </c>
      <c r="R192">
        <f>Table1[[#This Row],[Revenue (₹)  ← add]]-Table1[[#This Row],[Cost Price  ← add]]</f>
        <v>4863.05</v>
      </c>
      <c r="S192" t="str">
        <f>IF(C192="", "",Table1[[#This Row],[Delivery Date]]-Table1[[#This Row],[Order Date]])</f>
        <v/>
      </c>
      <c r="T192" t="str">
        <f>TEXT(Table1[[#This Row],[Order Date]],"DDDD")</f>
        <v>Wednesday</v>
      </c>
    </row>
    <row r="193" spans="1:20" x14ac:dyDescent="0.3">
      <c r="A193" s="2" t="s">
        <v>427</v>
      </c>
      <c r="B193" s="10">
        <v>45953</v>
      </c>
      <c r="C193" s="10">
        <v>45957</v>
      </c>
      <c r="D193" s="2" t="s">
        <v>222</v>
      </c>
      <c r="E193" s="2" t="s">
        <v>223</v>
      </c>
      <c r="F193" s="2" t="s">
        <v>224</v>
      </c>
      <c r="G193" s="2" t="s">
        <v>198</v>
      </c>
      <c r="H193" s="2" t="s">
        <v>208</v>
      </c>
      <c r="I193" s="2">
        <v>2</v>
      </c>
      <c r="J193" s="11">
        <v>599</v>
      </c>
      <c r="K193" s="12">
        <v>0.2</v>
      </c>
      <c r="L193" s="2" t="s">
        <v>229</v>
      </c>
      <c r="M193" s="2" t="s">
        <v>195</v>
      </c>
      <c r="N193">
        <f>Table1[[#This Row],[Quantity]]*Table1[[#This Row],[Unit Price (₹)]]*(1-Table1[[#This Row],[Discount %]])</f>
        <v>958.40000000000009</v>
      </c>
      <c r="O193" t="str">
        <f>TEXT(Table1[[#This Row],[Order Date]],"mmmm")</f>
        <v>October</v>
      </c>
      <c r="P193" t="str">
        <f>IF(Table1[[#This Row],[Revenue (₹)  ← add]]&gt;=15000,"High Value",IF(Table1[[#This Row],[Revenue (₹)  ← add]]&gt;=5000,"Medium","Low"))</f>
        <v>Low</v>
      </c>
      <c r="Q193">
        <f>VLOOKUP(Table1[[#This Row],[Product]],Table2[],4,FALSE)</f>
        <v>300</v>
      </c>
      <c r="R193">
        <f>Table1[[#This Row],[Revenue (₹)  ← add]]-Table1[[#This Row],[Cost Price  ← add]]</f>
        <v>658.40000000000009</v>
      </c>
      <c r="S193">
        <f>IF(C193="", "",Table1[[#This Row],[Delivery Date]]-Table1[[#This Row],[Order Date]])</f>
        <v>4</v>
      </c>
      <c r="T193" t="str">
        <f>TEXT(Table1[[#This Row],[Order Date]],"DDDD")</f>
        <v>Thursday</v>
      </c>
    </row>
    <row r="194" spans="1:20" x14ac:dyDescent="0.3">
      <c r="A194" s="2" t="s">
        <v>428</v>
      </c>
      <c r="B194" s="10">
        <v>45953</v>
      </c>
      <c r="C194" s="10"/>
      <c r="D194" s="2" t="s">
        <v>205</v>
      </c>
      <c r="E194" s="2" t="s">
        <v>206</v>
      </c>
      <c r="F194" s="2" t="s">
        <v>211</v>
      </c>
      <c r="G194" s="2" t="s">
        <v>201</v>
      </c>
      <c r="H194" s="2" t="s">
        <v>202</v>
      </c>
      <c r="I194" s="2">
        <v>2</v>
      </c>
      <c r="J194" s="11">
        <v>8499</v>
      </c>
      <c r="K194" s="12">
        <v>0.1</v>
      </c>
      <c r="L194" s="2" t="s">
        <v>225</v>
      </c>
      <c r="M194" s="2" t="s">
        <v>215</v>
      </c>
      <c r="N194">
        <f>Table1[[#This Row],[Quantity]]*Table1[[#This Row],[Unit Price (₹)]]*(1-Table1[[#This Row],[Discount %]])</f>
        <v>15298.2</v>
      </c>
      <c r="O194" t="str">
        <f>TEXT(Table1[[#This Row],[Order Date]],"mmmm")</f>
        <v>October</v>
      </c>
      <c r="P194" t="str">
        <f>IF(Table1[[#This Row],[Revenue (₹)  ← add]]&gt;=15000,"High Value",IF(Table1[[#This Row],[Revenue (₹)  ← add]]&gt;=5000,"Medium","Low"))</f>
        <v>High Value</v>
      </c>
      <c r="Q194">
        <f>VLOOKUP(Table1[[#This Row],[Product]],Table2[],4,FALSE)</f>
        <v>5200</v>
      </c>
      <c r="R194">
        <f>Table1[[#This Row],[Revenue (₹)  ← add]]-Table1[[#This Row],[Cost Price  ← add]]</f>
        <v>10098.200000000001</v>
      </c>
      <c r="S194" t="str">
        <f>IF(C194="", "",Table1[[#This Row],[Delivery Date]]-Table1[[#This Row],[Order Date]])</f>
        <v/>
      </c>
      <c r="T194" t="str">
        <f>TEXT(Table1[[#This Row],[Order Date]],"DDDD")</f>
        <v>Thursday</v>
      </c>
    </row>
    <row r="195" spans="1:20" x14ac:dyDescent="0.3">
      <c r="A195" s="2" t="s">
        <v>429</v>
      </c>
      <c r="B195" s="10">
        <v>45954</v>
      </c>
      <c r="C195" s="10">
        <v>45961</v>
      </c>
      <c r="D195" s="2" t="s">
        <v>222</v>
      </c>
      <c r="E195" s="2" t="s">
        <v>223</v>
      </c>
      <c r="F195" s="2" t="s">
        <v>249</v>
      </c>
      <c r="G195" s="2" t="s">
        <v>201</v>
      </c>
      <c r="H195" s="2" t="s">
        <v>250</v>
      </c>
      <c r="I195" s="2">
        <v>2</v>
      </c>
      <c r="J195" s="11">
        <v>5499</v>
      </c>
      <c r="K195" s="12">
        <v>0.2</v>
      </c>
      <c r="L195" s="2" t="s">
        <v>225</v>
      </c>
      <c r="M195" s="2" t="s">
        <v>195</v>
      </c>
      <c r="N195">
        <f>Table1[[#This Row],[Quantity]]*Table1[[#This Row],[Unit Price (₹)]]*(1-Table1[[#This Row],[Discount %]])</f>
        <v>8798.4</v>
      </c>
      <c r="O195" t="str">
        <f>TEXT(Table1[[#This Row],[Order Date]],"mmmm")</f>
        <v>October</v>
      </c>
      <c r="P195" t="str">
        <f>IF(Table1[[#This Row],[Revenue (₹)  ← add]]&gt;=15000,"High Value",IF(Table1[[#This Row],[Revenue (₹)  ← add]]&gt;=5000,"Medium","Low"))</f>
        <v>Medium</v>
      </c>
      <c r="Q195">
        <f>VLOOKUP(Table1[[#This Row],[Product]],Table2[],4,FALSE)</f>
        <v>3300</v>
      </c>
      <c r="R195">
        <f>Table1[[#This Row],[Revenue (₹)  ← add]]-Table1[[#This Row],[Cost Price  ← add]]</f>
        <v>5498.4</v>
      </c>
      <c r="S195">
        <f>IF(C195="", "",Table1[[#This Row],[Delivery Date]]-Table1[[#This Row],[Order Date]])</f>
        <v>7</v>
      </c>
      <c r="T195" t="str">
        <f>TEXT(Table1[[#This Row],[Order Date]],"DDDD")</f>
        <v>Friday</v>
      </c>
    </row>
    <row r="196" spans="1:20" x14ac:dyDescent="0.3">
      <c r="A196" s="2" t="s">
        <v>430</v>
      </c>
      <c r="B196" s="10">
        <v>45955</v>
      </c>
      <c r="C196" s="10">
        <v>45959</v>
      </c>
      <c r="D196" s="2" t="s">
        <v>205</v>
      </c>
      <c r="E196" s="2" t="s">
        <v>206</v>
      </c>
      <c r="F196" s="2" t="s">
        <v>211</v>
      </c>
      <c r="G196" s="2" t="s">
        <v>217</v>
      </c>
      <c r="H196" s="2" t="s">
        <v>218</v>
      </c>
      <c r="I196" s="2">
        <v>6</v>
      </c>
      <c r="J196" s="11">
        <v>1499</v>
      </c>
      <c r="K196" s="12">
        <v>0.05</v>
      </c>
      <c r="L196" s="2" t="s">
        <v>225</v>
      </c>
      <c r="M196" s="2" t="s">
        <v>195</v>
      </c>
      <c r="N196">
        <f>Table1[[#This Row],[Quantity]]*Table1[[#This Row],[Unit Price (₹)]]*(1-Table1[[#This Row],[Discount %]])</f>
        <v>8544.2999999999993</v>
      </c>
      <c r="O196" t="str">
        <f>TEXT(Table1[[#This Row],[Order Date]],"mmmm")</f>
        <v>October</v>
      </c>
      <c r="P196" t="str">
        <f>IF(Table1[[#This Row],[Revenue (₹)  ← add]]&gt;=15000,"High Value",IF(Table1[[#This Row],[Revenue (₹)  ← add]]&gt;=5000,"Medium","Low"))</f>
        <v>Medium</v>
      </c>
      <c r="Q196">
        <f>VLOOKUP(Table1[[#This Row],[Product]],Table2[],4,FALSE)</f>
        <v>850</v>
      </c>
      <c r="R196">
        <f>Table1[[#This Row],[Revenue (₹)  ← add]]-Table1[[#This Row],[Cost Price  ← add]]</f>
        <v>7694.2999999999993</v>
      </c>
      <c r="S196">
        <f>IF(C196="", "",Table1[[#This Row],[Delivery Date]]-Table1[[#This Row],[Order Date]])</f>
        <v>4</v>
      </c>
      <c r="T196" t="str">
        <f>TEXT(Table1[[#This Row],[Order Date]],"DDDD")</f>
        <v>Saturday</v>
      </c>
    </row>
    <row r="197" spans="1:20" x14ac:dyDescent="0.3">
      <c r="A197" s="2" t="s">
        <v>431</v>
      </c>
      <c r="B197" s="10">
        <v>45955</v>
      </c>
      <c r="C197" s="10">
        <v>45963</v>
      </c>
      <c r="D197" s="2" t="s">
        <v>222</v>
      </c>
      <c r="E197" s="2" t="s">
        <v>223</v>
      </c>
      <c r="F197" s="2" t="s">
        <v>249</v>
      </c>
      <c r="G197" s="2" t="s">
        <v>217</v>
      </c>
      <c r="H197" s="2" t="s">
        <v>255</v>
      </c>
      <c r="I197" s="2">
        <v>5</v>
      </c>
      <c r="J197" s="11">
        <v>1999</v>
      </c>
      <c r="K197" s="12">
        <v>0</v>
      </c>
      <c r="L197" s="2" t="s">
        <v>225</v>
      </c>
      <c r="M197" s="2" t="s">
        <v>195</v>
      </c>
      <c r="N197">
        <f>Table1[[#This Row],[Quantity]]*Table1[[#This Row],[Unit Price (₹)]]*(1-Table1[[#This Row],[Discount %]])</f>
        <v>9995</v>
      </c>
      <c r="O197" t="str">
        <f>TEXT(Table1[[#This Row],[Order Date]],"mmmm")</f>
        <v>October</v>
      </c>
      <c r="P197" t="str">
        <f>IF(Table1[[#This Row],[Revenue (₹)  ← add]]&gt;=15000,"High Value",IF(Table1[[#This Row],[Revenue (₹)  ← add]]&gt;=5000,"Medium","Low"))</f>
        <v>Medium</v>
      </c>
      <c r="Q197">
        <f>VLOOKUP(Table1[[#This Row],[Product]],Table2[],4,FALSE)</f>
        <v>1100</v>
      </c>
      <c r="R197">
        <f>Table1[[#This Row],[Revenue (₹)  ← add]]-Table1[[#This Row],[Cost Price  ← add]]</f>
        <v>8895</v>
      </c>
      <c r="S197">
        <f>IF(C197="", "",Table1[[#This Row],[Delivery Date]]-Table1[[#This Row],[Order Date]])</f>
        <v>8</v>
      </c>
      <c r="T197" t="str">
        <f>TEXT(Table1[[#This Row],[Order Date]],"DDDD")</f>
        <v>Saturday</v>
      </c>
    </row>
    <row r="198" spans="1:20" x14ac:dyDescent="0.3">
      <c r="A198" s="2" t="s">
        <v>432</v>
      </c>
      <c r="B198" s="10">
        <v>45956</v>
      </c>
      <c r="C198" s="10">
        <v>45963</v>
      </c>
      <c r="D198" s="2" t="s">
        <v>238</v>
      </c>
      <c r="E198" s="2" t="s">
        <v>239</v>
      </c>
      <c r="F198" s="2" t="s">
        <v>240</v>
      </c>
      <c r="G198" s="2" t="s">
        <v>217</v>
      </c>
      <c r="H198" s="2" t="s">
        <v>218</v>
      </c>
      <c r="I198" s="2">
        <v>2</v>
      </c>
      <c r="J198" s="11">
        <v>1499</v>
      </c>
      <c r="K198" s="12">
        <v>0.05</v>
      </c>
      <c r="L198" s="2" t="s">
        <v>194</v>
      </c>
      <c r="M198" s="2" t="s">
        <v>195</v>
      </c>
      <c r="N198">
        <f>Table1[[#This Row],[Quantity]]*Table1[[#This Row],[Unit Price (₹)]]*(1-Table1[[#This Row],[Discount %]])</f>
        <v>2848.1</v>
      </c>
      <c r="O198" t="str">
        <f>TEXT(Table1[[#This Row],[Order Date]],"mmmm")</f>
        <v>October</v>
      </c>
      <c r="P198" t="str">
        <f>IF(Table1[[#This Row],[Revenue (₹)  ← add]]&gt;=15000,"High Value",IF(Table1[[#This Row],[Revenue (₹)  ← add]]&gt;=5000,"Medium","Low"))</f>
        <v>Low</v>
      </c>
      <c r="Q198">
        <f>VLOOKUP(Table1[[#This Row],[Product]],Table2[],4,FALSE)</f>
        <v>850</v>
      </c>
      <c r="R198">
        <f>Table1[[#This Row],[Revenue (₹)  ← add]]-Table1[[#This Row],[Cost Price  ← add]]</f>
        <v>1998.1</v>
      </c>
      <c r="S198">
        <f>IF(C198="", "",Table1[[#This Row],[Delivery Date]]-Table1[[#This Row],[Order Date]])</f>
        <v>7</v>
      </c>
      <c r="T198" t="str">
        <f>TEXT(Table1[[#This Row],[Order Date]],"DDDD")</f>
        <v>Sunday</v>
      </c>
    </row>
    <row r="199" spans="1:20" x14ac:dyDescent="0.3">
      <c r="A199" s="2" t="s">
        <v>433</v>
      </c>
      <c r="B199" s="10">
        <v>45956</v>
      </c>
      <c r="C199" s="10">
        <v>45965</v>
      </c>
      <c r="D199" s="2" t="s">
        <v>238</v>
      </c>
      <c r="E199" s="2" t="s">
        <v>239</v>
      </c>
      <c r="F199" s="2" t="s">
        <v>240</v>
      </c>
      <c r="G199" s="2" t="s">
        <v>201</v>
      </c>
      <c r="H199" s="2" t="s">
        <v>314</v>
      </c>
      <c r="I199" s="2">
        <v>1</v>
      </c>
      <c r="J199" s="11">
        <v>6999</v>
      </c>
      <c r="K199" s="12">
        <v>0</v>
      </c>
      <c r="L199" s="2" t="s">
        <v>229</v>
      </c>
      <c r="M199" s="2" t="s">
        <v>195</v>
      </c>
      <c r="N199">
        <f>Table1[[#This Row],[Quantity]]*Table1[[#This Row],[Unit Price (₹)]]*(1-Table1[[#This Row],[Discount %]])</f>
        <v>6999</v>
      </c>
      <c r="O199" t="str">
        <f>TEXT(Table1[[#This Row],[Order Date]],"mmmm")</f>
        <v>October</v>
      </c>
      <c r="P199" t="str">
        <f>IF(Table1[[#This Row],[Revenue (₹)  ← add]]&gt;=15000,"High Value",IF(Table1[[#This Row],[Revenue (₹)  ← add]]&gt;=5000,"Medium","Low"))</f>
        <v>Medium</v>
      </c>
      <c r="Q199">
        <f>VLOOKUP(Table1[[#This Row],[Product]],Table2[],4,FALSE)</f>
        <v>4200</v>
      </c>
      <c r="R199">
        <f>Table1[[#This Row],[Revenue (₹)  ← add]]-Table1[[#This Row],[Cost Price  ← add]]</f>
        <v>2799</v>
      </c>
      <c r="S199">
        <f>IF(C199="", "",Table1[[#This Row],[Delivery Date]]-Table1[[#This Row],[Order Date]])</f>
        <v>9</v>
      </c>
      <c r="T199" t="str">
        <f>TEXT(Table1[[#This Row],[Order Date]],"DDDD")</f>
        <v>Sunday</v>
      </c>
    </row>
    <row r="200" spans="1:20" x14ac:dyDescent="0.3">
      <c r="A200" s="2" t="s">
        <v>434</v>
      </c>
      <c r="B200" s="10">
        <v>45957</v>
      </c>
      <c r="C200" s="10">
        <v>45966</v>
      </c>
      <c r="D200" s="2" t="s">
        <v>189</v>
      </c>
      <c r="E200" s="2" t="s">
        <v>190</v>
      </c>
      <c r="F200" s="2" t="s">
        <v>213</v>
      </c>
      <c r="G200" s="2" t="s">
        <v>201</v>
      </c>
      <c r="H200" s="2" t="s">
        <v>250</v>
      </c>
      <c r="I200" s="2">
        <v>1</v>
      </c>
      <c r="J200" s="11">
        <v>5499</v>
      </c>
      <c r="K200" s="12">
        <v>0.1</v>
      </c>
      <c r="L200" s="2" t="s">
        <v>229</v>
      </c>
      <c r="M200" s="2" t="s">
        <v>195</v>
      </c>
      <c r="N200">
        <f>Table1[[#This Row],[Quantity]]*Table1[[#This Row],[Unit Price (₹)]]*(1-Table1[[#This Row],[Discount %]])</f>
        <v>4949.1000000000004</v>
      </c>
      <c r="O200" t="str">
        <f>TEXT(Table1[[#This Row],[Order Date]],"mmmm")</f>
        <v>October</v>
      </c>
      <c r="P200" t="str">
        <f>IF(Table1[[#This Row],[Revenue (₹)  ← add]]&gt;=15000,"High Value",IF(Table1[[#This Row],[Revenue (₹)  ← add]]&gt;=5000,"Medium","Low"))</f>
        <v>Low</v>
      </c>
      <c r="Q200">
        <f>VLOOKUP(Table1[[#This Row],[Product]],Table2[],4,FALSE)</f>
        <v>3300</v>
      </c>
      <c r="R200">
        <f>Table1[[#This Row],[Revenue (₹)  ← add]]-Table1[[#This Row],[Cost Price  ← add]]</f>
        <v>1649.1000000000004</v>
      </c>
      <c r="S200">
        <f>IF(C200="", "",Table1[[#This Row],[Delivery Date]]-Table1[[#This Row],[Order Date]])</f>
        <v>9</v>
      </c>
      <c r="T200" t="str">
        <f>TEXT(Table1[[#This Row],[Order Date]],"DDDD")</f>
        <v>Monday</v>
      </c>
    </row>
    <row r="201" spans="1:20" x14ac:dyDescent="0.3">
      <c r="A201" s="2" t="s">
        <v>435</v>
      </c>
      <c r="B201" s="10">
        <v>45958</v>
      </c>
      <c r="C201" s="10">
        <v>45962</v>
      </c>
      <c r="D201" s="2" t="s">
        <v>189</v>
      </c>
      <c r="E201" s="2" t="s">
        <v>197</v>
      </c>
      <c r="F201" s="2" t="s">
        <v>213</v>
      </c>
      <c r="G201" s="2" t="s">
        <v>217</v>
      </c>
      <c r="H201" s="2" t="s">
        <v>236</v>
      </c>
      <c r="I201" s="2">
        <v>5</v>
      </c>
      <c r="J201" s="11">
        <v>2499</v>
      </c>
      <c r="K201" s="12">
        <v>0.15</v>
      </c>
      <c r="L201" s="2" t="s">
        <v>203</v>
      </c>
      <c r="M201" s="2" t="s">
        <v>195</v>
      </c>
      <c r="N201">
        <f>Table1[[#This Row],[Quantity]]*Table1[[#This Row],[Unit Price (₹)]]*(1-Table1[[#This Row],[Discount %]])</f>
        <v>10620.75</v>
      </c>
      <c r="O201" t="str">
        <f>TEXT(Table1[[#This Row],[Order Date]],"mmmm")</f>
        <v>October</v>
      </c>
      <c r="P201" t="str">
        <f>IF(Table1[[#This Row],[Revenue (₹)  ← add]]&gt;=15000,"High Value",IF(Table1[[#This Row],[Revenue (₹)  ← add]]&gt;=5000,"Medium","Low"))</f>
        <v>Medium</v>
      </c>
      <c r="Q201">
        <f>VLOOKUP(Table1[[#This Row],[Product]],Table2[],4,FALSE)</f>
        <v>1500</v>
      </c>
      <c r="R201">
        <f>Table1[[#This Row],[Revenue (₹)  ← add]]-Table1[[#This Row],[Cost Price  ← add]]</f>
        <v>9120.75</v>
      </c>
      <c r="S201">
        <f>IF(C201="", "",Table1[[#This Row],[Delivery Date]]-Table1[[#This Row],[Order Date]])</f>
        <v>4</v>
      </c>
      <c r="T201" t="str">
        <f>TEXT(Table1[[#This Row],[Order Date]],"DDDD")</f>
        <v>Tuesday</v>
      </c>
    </row>
    <row r="202" spans="1:20" x14ac:dyDescent="0.3">
      <c r="A202" s="2" t="s">
        <v>436</v>
      </c>
      <c r="B202" s="10">
        <v>45959</v>
      </c>
      <c r="C202" s="10">
        <v>45966</v>
      </c>
      <c r="D202" s="2" t="s">
        <v>205</v>
      </c>
      <c r="E202" s="2" t="s">
        <v>227</v>
      </c>
      <c r="F202" s="2" t="s">
        <v>207</v>
      </c>
      <c r="G202" s="2" t="s">
        <v>217</v>
      </c>
      <c r="H202" s="2" t="s">
        <v>255</v>
      </c>
      <c r="I202" s="2">
        <v>2</v>
      </c>
      <c r="J202" s="11">
        <v>1999</v>
      </c>
      <c r="K202" s="12">
        <v>0.2</v>
      </c>
      <c r="L202" s="2" t="s">
        <v>203</v>
      </c>
      <c r="M202" s="2" t="s">
        <v>195</v>
      </c>
      <c r="N202">
        <f>Table1[[#This Row],[Quantity]]*Table1[[#This Row],[Unit Price (₹)]]*(1-Table1[[#This Row],[Discount %]])</f>
        <v>3198.4</v>
      </c>
      <c r="O202" t="str">
        <f>TEXT(Table1[[#This Row],[Order Date]],"mmmm")</f>
        <v>October</v>
      </c>
      <c r="P202" t="str">
        <f>IF(Table1[[#This Row],[Revenue (₹)  ← add]]&gt;=15000,"High Value",IF(Table1[[#This Row],[Revenue (₹)  ← add]]&gt;=5000,"Medium","Low"))</f>
        <v>Low</v>
      </c>
      <c r="Q202">
        <f>VLOOKUP(Table1[[#This Row],[Product]],Table2[],4,FALSE)</f>
        <v>1100</v>
      </c>
      <c r="R202">
        <f>Table1[[#This Row],[Revenue (₹)  ← add]]-Table1[[#This Row],[Cost Price  ← add]]</f>
        <v>2098.4</v>
      </c>
      <c r="S202">
        <f>IF(C202="", "",Table1[[#This Row],[Delivery Date]]-Table1[[#This Row],[Order Date]])</f>
        <v>7</v>
      </c>
      <c r="T202" t="str">
        <f>TEXT(Table1[[#This Row],[Order Date]],"DDDD")</f>
        <v>Wednesday</v>
      </c>
    </row>
    <row r="203" spans="1:20" x14ac:dyDescent="0.3">
      <c r="A203" s="2" t="s">
        <v>437</v>
      </c>
      <c r="B203" s="10">
        <v>45961</v>
      </c>
      <c r="C203" s="10">
        <v>45967</v>
      </c>
      <c r="D203" s="2" t="s">
        <v>238</v>
      </c>
      <c r="E203" s="2" t="s">
        <v>243</v>
      </c>
      <c r="F203" s="2" t="s">
        <v>244</v>
      </c>
      <c r="G203" s="2" t="s">
        <v>201</v>
      </c>
      <c r="H203" s="2" t="s">
        <v>250</v>
      </c>
      <c r="I203" s="2">
        <v>2</v>
      </c>
      <c r="J203" s="11">
        <v>5499</v>
      </c>
      <c r="K203" s="12">
        <v>0.05</v>
      </c>
      <c r="L203" s="2" t="s">
        <v>229</v>
      </c>
      <c r="M203" s="2" t="s">
        <v>195</v>
      </c>
      <c r="N203">
        <f>Table1[[#This Row],[Quantity]]*Table1[[#This Row],[Unit Price (₹)]]*(1-Table1[[#This Row],[Discount %]])</f>
        <v>10448.1</v>
      </c>
      <c r="O203" t="str">
        <f>TEXT(Table1[[#This Row],[Order Date]],"mmmm")</f>
        <v>October</v>
      </c>
      <c r="P203" t="str">
        <f>IF(Table1[[#This Row],[Revenue (₹)  ← add]]&gt;=15000,"High Value",IF(Table1[[#This Row],[Revenue (₹)  ← add]]&gt;=5000,"Medium","Low"))</f>
        <v>Medium</v>
      </c>
      <c r="Q203">
        <f>VLOOKUP(Table1[[#This Row],[Product]],Table2[],4,FALSE)</f>
        <v>3300</v>
      </c>
      <c r="R203">
        <f>Table1[[#This Row],[Revenue (₹)  ← add]]-Table1[[#This Row],[Cost Price  ← add]]</f>
        <v>7148.1</v>
      </c>
      <c r="S203">
        <f>IF(C203="", "",Table1[[#This Row],[Delivery Date]]-Table1[[#This Row],[Order Date]])</f>
        <v>6</v>
      </c>
      <c r="T203" t="str">
        <f>TEXT(Table1[[#This Row],[Order Date]],"DDDD")</f>
        <v>Friday</v>
      </c>
    </row>
    <row r="204" spans="1:20" x14ac:dyDescent="0.3">
      <c r="A204" s="2" t="s">
        <v>438</v>
      </c>
      <c r="B204" s="10">
        <v>45961</v>
      </c>
      <c r="C204" s="10">
        <v>45967</v>
      </c>
      <c r="D204" s="2" t="s">
        <v>238</v>
      </c>
      <c r="E204" s="2" t="s">
        <v>254</v>
      </c>
      <c r="F204" s="2" t="s">
        <v>244</v>
      </c>
      <c r="G204" s="2" t="s">
        <v>192</v>
      </c>
      <c r="H204" s="2" t="s">
        <v>234</v>
      </c>
      <c r="I204" s="2">
        <v>5</v>
      </c>
      <c r="J204" s="11">
        <v>599</v>
      </c>
      <c r="K204" s="12">
        <v>0.1</v>
      </c>
      <c r="L204" s="2" t="s">
        <v>203</v>
      </c>
      <c r="M204" s="2" t="s">
        <v>195</v>
      </c>
      <c r="N204">
        <f>Table1[[#This Row],[Quantity]]*Table1[[#This Row],[Unit Price (₹)]]*(1-Table1[[#This Row],[Discount %]])</f>
        <v>2695.5</v>
      </c>
      <c r="O204" t="str">
        <f>TEXT(Table1[[#This Row],[Order Date]],"mmmm")</f>
        <v>October</v>
      </c>
      <c r="P204" t="str">
        <f>IF(Table1[[#This Row],[Revenue (₹)  ← add]]&gt;=15000,"High Value",IF(Table1[[#This Row],[Revenue (₹)  ← add]]&gt;=5000,"Medium","Low"))</f>
        <v>Low</v>
      </c>
      <c r="Q204">
        <f>VLOOKUP(Table1[[#This Row],[Product]],Table2[],4,FALSE)</f>
        <v>320</v>
      </c>
      <c r="R204">
        <f>Table1[[#This Row],[Revenue (₹)  ← add]]-Table1[[#This Row],[Cost Price  ← add]]</f>
        <v>2375.5</v>
      </c>
      <c r="S204">
        <f>IF(C204="", "",Table1[[#This Row],[Delivery Date]]-Table1[[#This Row],[Order Date]])</f>
        <v>6</v>
      </c>
      <c r="T204" t="str">
        <f>TEXT(Table1[[#This Row],[Order Date]],"DDDD")</f>
        <v>Friday</v>
      </c>
    </row>
    <row r="205" spans="1:20" x14ac:dyDescent="0.3">
      <c r="A205" s="2" t="s">
        <v>439</v>
      </c>
      <c r="B205" s="10">
        <v>45962</v>
      </c>
      <c r="C205" s="10">
        <v>45969</v>
      </c>
      <c r="D205" s="2" t="s">
        <v>205</v>
      </c>
      <c r="E205" s="2" t="s">
        <v>227</v>
      </c>
      <c r="F205" s="2" t="s">
        <v>207</v>
      </c>
      <c r="G205" s="2" t="s">
        <v>192</v>
      </c>
      <c r="H205" s="2" t="s">
        <v>193</v>
      </c>
      <c r="I205" s="2">
        <v>9</v>
      </c>
      <c r="J205" s="11">
        <v>249</v>
      </c>
      <c r="K205" s="12">
        <v>0.05</v>
      </c>
      <c r="L205" s="2" t="s">
        <v>203</v>
      </c>
      <c r="M205" s="2" t="s">
        <v>195</v>
      </c>
      <c r="N205">
        <f>Table1[[#This Row],[Quantity]]*Table1[[#This Row],[Unit Price (₹)]]*(1-Table1[[#This Row],[Discount %]])</f>
        <v>2128.9499999999998</v>
      </c>
      <c r="O205" t="str">
        <f>TEXT(Table1[[#This Row],[Order Date]],"mmmm")</f>
        <v>November</v>
      </c>
      <c r="P205" t="str">
        <f>IF(Table1[[#This Row],[Revenue (₹)  ← add]]&gt;=15000,"High Value",IF(Table1[[#This Row],[Revenue (₹)  ← add]]&gt;=5000,"Medium","Low"))</f>
        <v>Low</v>
      </c>
      <c r="Q205">
        <f>VLOOKUP(Table1[[#This Row],[Product]],Table2[],4,FALSE)</f>
        <v>120</v>
      </c>
      <c r="R205">
        <f>Table1[[#This Row],[Revenue (₹)  ← add]]-Table1[[#This Row],[Cost Price  ← add]]</f>
        <v>2008.9499999999998</v>
      </c>
      <c r="S205">
        <f>IF(C205="", "",Table1[[#This Row],[Delivery Date]]-Table1[[#This Row],[Order Date]])</f>
        <v>7</v>
      </c>
      <c r="T205" t="str">
        <f>TEXT(Table1[[#This Row],[Order Date]],"DDDD")</f>
        <v>Saturday</v>
      </c>
    </row>
    <row r="206" spans="1:20" x14ac:dyDescent="0.3">
      <c r="A206" s="2" t="s">
        <v>440</v>
      </c>
      <c r="B206" s="10">
        <v>45963</v>
      </c>
      <c r="C206" s="10">
        <v>45971</v>
      </c>
      <c r="D206" s="2" t="s">
        <v>222</v>
      </c>
      <c r="E206" s="2" t="s">
        <v>223</v>
      </c>
      <c r="F206" s="2" t="s">
        <v>249</v>
      </c>
      <c r="G206" s="2" t="s">
        <v>217</v>
      </c>
      <c r="H206" s="2" t="s">
        <v>236</v>
      </c>
      <c r="I206" s="2">
        <v>2</v>
      </c>
      <c r="J206" s="11">
        <v>2499</v>
      </c>
      <c r="K206" s="12">
        <v>0.05</v>
      </c>
      <c r="L206" s="2" t="s">
        <v>229</v>
      </c>
      <c r="M206" s="2" t="s">
        <v>195</v>
      </c>
      <c r="N206">
        <f>Table1[[#This Row],[Quantity]]*Table1[[#This Row],[Unit Price (₹)]]*(1-Table1[[#This Row],[Discount %]])</f>
        <v>4748.0999999999995</v>
      </c>
      <c r="O206" t="str">
        <f>TEXT(Table1[[#This Row],[Order Date]],"mmmm")</f>
        <v>November</v>
      </c>
      <c r="P206" t="str">
        <f>IF(Table1[[#This Row],[Revenue (₹)  ← add]]&gt;=15000,"High Value",IF(Table1[[#This Row],[Revenue (₹)  ← add]]&gt;=5000,"Medium","Low"))</f>
        <v>Low</v>
      </c>
      <c r="Q206">
        <f>VLOOKUP(Table1[[#This Row],[Product]],Table2[],4,FALSE)</f>
        <v>1500</v>
      </c>
      <c r="R206">
        <f>Table1[[#This Row],[Revenue (₹)  ← add]]-Table1[[#This Row],[Cost Price  ← add]]</f>
        <v>3248.0999999999995</v>
      </c>
      <c r="S206">
        <f>IF(C206="", "",Table1[[#This Row],[Delivery Date]]-Table1[[#This Row],[Order Date]])</f>
        <v>8</v>
      </c>
      <c r="T206" t="str">
        <f>TEXT(Table1[[#This Row],[Order Date]],"DDDD")</f>
        <v>Sunday</v>
      </c>
    </row>
    <row r="207" spans="1:20" x14ac:dyDescent="0.3">
      <c r="A207" s="2" t="s">
        <v>441</v>
      </c>
      <c r="B207" s="10">
        <v>45963</v>
      </c>
      <c r="C207" s="10">
        <v>45969</v>
      </c>
      <c r="D207" s="2" t="s">
        <v>189</v>
      </c>
      <c r="E207" s="2" t="s">
        <v>197</v>
      </c>
      <c r="F207" s="2" t="s">
        <v>213</v>
      </c>
      <c r="G207" s="2" t="s">
        <v>198</v>
      </c>
      <c r="H207" s="2" t="s">
        <v>208</v>
      </c>
      <c r="I207" s="2">
        <v>5</v>
      </c>
      <c r="J207" s="11">
        <v>599</v>
      </c>
      <c r="K207" s="12">
        <v>0.05</v>
      </c>
      <c r="L207" s="2" t="s">
        <v>203</v>
      </c>
      <c r="M207" s="2" t="s">
        <v>195</v>
      </c>
      <c r="N207">
        <f>Table1[[#This Row],[Quantity]]*Table1[[#This Row],[Unit Price (₹)]]*(1-Table1[[#This Row],[Discount %]])</f>
        <v>2845.25</v>
      </c>
      <c r="O207" t="str">
        <f>TEXT(Table1[[#This Row],[Order Date]],"mmmm")</f>
        <v>November</v>
      </c>
      <c r="P207" t="str">
        <f>IF(Table1[[#This Row],[Revenue (₹)  ← add]]&gt;=15000,"High Value",IF(Table1[[#This Row],[Revenue (₹)  ← add]]&gt;=5000,"Medium","Low"))</f>
        <v>Low</v>
      </c>
      <c r="Q207">
        <f>VLOOKUP(Table1[[#This Row],[Product]],Table2[],4,FALSE)</f>
        <v>300</v>
      </c>
      <c r="R207">
        <f>Table1[[#This Row],[Revenue (₹)  ← add]]-Table1[[#This Row],[Cost Price  ← add]]</f>
        <v>2545.25</v>
      </c>
      <c r="S207">
        <f>IF(C207="", "",Table1[[#This Row],[Delivery Date]]-Table1[[#This Row],[Order Date]])</f>
        <v>6</v>
      </c>
      <c r="T207" t="str">
        <f>TEXT(Table1[[#This Row],[Order Date]],"DDDD")</f>
        <v>Sunday</v>
      </c>
    </row>
    <row r="208" spans="1:20" x14ac:dyDescent="0.3">
      <c r="A208" s="2" t="s">
        <v>442</v>
      </c>
      <c r="B208" s="10">
        <v>45964</v>
      </c>
      <c r="C208" s="10">
        <v>45968</v>
      </c>
      <c r="D208" s="2" t="s">
        <v>205</v>
      </c>
      <c r="E208" s="2" t="s">
        <v>210</v>
      </c>
      <c r="F208" s="2" t="s">
        <v>207</v>
      </c>
      <c r="G208" s="2" t="s">
        <v>192</v>
      </c>
      <c r="H208" s="2" t="s">
        <v>234</v>
      </c>
      <c r="I208" s="2">
        <v>3</v>
      </c>
      <c r="J208" s="11">
        <v>599</v>
      </c>
      <c r="K208" s="12">
        <v>0.1</v>
      </c>
      <c r="L208" s="2" t="s">
        <v>194</v>
      </c>
      <c r="M208" s="2" t="s">
        <v>195</v>
      </c>
      <c r="N208">
        <f>Table1[[#This Row],[Quantity]]*Table1[[#This Row],[Unit Price (₹)]]*(1-Table1[[#This Row],[Discount %]])</f>
        <v>1617.3</v>
      </c>
      <c r="O208" t="str">
        <f>TEXT(Table1[[#This Row],[Order Date]],"mmmm")</f>
        <v>November</v>
      </c>
      <c r="P208" t="str">
        <f>IF(Table1[[#This Row],[Revenue (₹)  ← add]]&gt;=15000,"High Value",IF(Table1[[#This Row],[Revenue (₹)  ← add]]&gt;=5000,"Medium","Low"))</f>
        <v>Low</v>
      </c>
      <c r="Q208">
        <f>VLOOKUP(Table1[[#This Row],[Product]],Table2[],4,FALSE)</f>
        <v>320</v>
      </c>
      <c r="R208">
        <f>Table1[[#This Row],[Revenue (₹)  ← add]]-Table1[[#This Row],[Cost Price  ← add]]</f>
        <v>1297.3</v>
      </c>
      <c r="S208">
        <f>IF(C208="", "",Table1[[#This Row],[Delivery Date]]-Table1[[#This Row],[Order Date]])</f>
        <v>4</v>
      </c>
      <c r="T208" t="str">
        <f>TEXT(Table1[[#This Row],[Order Date]],"DDDD")</f>
        <v>Monday</v>
      </c>
    </row>
    <row r="209" spans="1:20" x14ac:dyDescent="0.3">
      <c r="A209" s="2" t="s">
        <v>443</v>
      </c>
      <c r="B209" s="10">
        <v>45968</v>
      </c>
      <c r="C209" s="10">
        <v>45972</v>
      </c>
      <c r="D209" s="2" t="s">
        <v>238</v>
      </c>
      <c r="E209" s="2" t="s">
        <v>243</v>
      </c>
      <c r="F209" s="2" t="s">
        <v>240</v>
      </c>
      <c r="G209" s="2" t="s">
        <v>201</v>
      </c>
      <c r="H209" s="2" t="s">
        <v>202</v>
      </c>
      <c r="I209" s="2">
        <v>2</v>
      </c>
      <c r="J209" s="11">
        <v>8499</v>
      </c>
      <c r="K209" s="12">
        <v>0.1</v>
      </c>
      <c r="L209" s="2" t="s">
        <v>225</v>
      </c>
      <c r="M209" s="2" t="s">
        <v>195</v>
      </c>
      <c r="N209">
        <f>Table1[[#This Row],[Quantity]]*Table1[[#This Row],[Unit Price (₹)]]*(1-Table1[[#This Row],[Discount %]])</f>
        <v>15298.2</v>
      </c>
      <c r="O209" t="str">
        <f>TEXT(Table1[[#This Row],[Order Date]],"mmmm")</f>
        <v>November</v>
      </c>
      <c r="P209" t="str">
        <f>IF(Table1[[#This Row],[Revenue (₹)  ← add]]&gt;=15000,"High Value",IF(Table1[[#This Row],[Revenue (₹)  ← add]]&gt;=5000,"Medium","Low"))</f>
        <v>High Value</v>
      </c>
      <c r="Q209">
        <f>VLOOKUP(Table1[[#This Row],[Product]],Table2[],4,FALSE)</f>
        <v>5200</v>
      </c>
      <c r="R209">
        <f>Table1[[#This Row],[Revenue (₹)  ← add]]-Table1[[#This Row],[Cost Price  ← add]]</f>
        <v>10098.200000000001</v>
      </c>
      <c r="S209">
        <f>IF(C209="", "",Table1[[#This Row],[Delivery Date]]-Table1[[#This Row],[Order Date]])</f>
        <v>4</v>
      </c>
      <c r="T209" t="str">
        <f>TEXT(Table1[[#This Row],[Order Date]],"DDDD")</f>
        <v>Friday</v>
      </c>
    </row>
    <row r="210" spans="1:20" x14ac:dyDescent="0.3">
      <c r="A210" s="2" t="s">
        <v>444</v>
      </c>
      <c r="B210" s="10">
        <v>45968</v>
      </c>
      <c r="C210" s="10">
        <v>45977</v>
      </c>
      <c r="D210" s="2" t="s">
        <v>238</v>
      </c>
      <c r="E210" s="2" t="s">
        <v>239</v>
      </c>
      <c r="F210" s="2" t="s">
        <v>244</v>
      </c>
      <c r="G210" s="2" t="s">
        <v>198</v>
      </c>
      <c r="H210" s="2" t="s">
        <v>208</v>
      </c>
      <c r="I210" s="2">
        <v>3</v>
      </c>
      <c r="J210" s="11">
        <v>599</v>
      </c>
      <c r="K210" s="12">
        <v>0.05</v>
      </c>
      <c r="L210" s="2" t="s">
        <v>203</v>
      </c>
      <c r="M210" s="2" t="s">
        <v>195</v>
      </c>
      <c r="N210">
        <f>Table1[[#This Row],[Quantity]]*Table1[[#This Row],[Unit Price (₹)]]*(1-Table1[[#This Row],[Discount %]])</f>
        <v>1707.1499999999999</v>
      </c>
      <c r="O210" t="str">
        <f>TEXT(Table1[[#This Row],[Order Date]],"mmmm")</f>
        <v>November</v>
      </c>
      <c r="P210" t="str">
        <f>IF(Table1[[#This Row],[Revenue (₹)  ← add]]&gt;=15000,"High Value",IF(Table1[[#This Row],[Revenue (₹)  ← add]]&gt;=5000,"Medium","Low"))</f>
        <v>Low</v>
      </c>
      <c r="Q210">
        <f>VLOOKUP(Table1[[#This Row],[Product]],Table2[],4,FALSE)</f>
        <v>300</v>
      </c>
      <c r="R210">
        <f>Table1[[#This Row],[Revenue (₹)  ← add]]-Table1[[#This Row],[Cost Price  ← add]]</f>
        <v>1407.1499999999999</v>
      </c>
      <c r="S210">
        <f>IF(C210="", "",Table1[[#This Row],[Delivery Date]]-Table1[[#This Row],[Order Date]])</f>
        <v>9</v>
      </c>
      <c r="T210" t="str">
        <f>TEXT(Table1[[#This Row],[Order Date]],"DDDD")</f>
        <v>Friday</v>
      </c>
    </row>
    <row r="211" spans="1:20" x14ac:dyDescent="0.3">
      <c r="A211" s="2" t="s">
        <v>445</v>
      </c>
      <c r="B211" s="10">
        <v>45969</v>
      </c>
      <c r="C211" s="10">
        <v>45978</v>
      </c>
      <c r="D211" s="2" t="s">
        <v>205</v>
      </c>
      <c r="E211" s="2" t="s">
        <v>206</v>
      </c>
      <c r="F211" s="2" t="s">
        <v>211</v>
      </c>
      <c r="G211" s="2" t="s">
        <v>217</v>
      </c>
      <c r="H211" s="2" t="s">
        <v>228</v>
      </c>
      <c r="I211" s="2">
        <v>4</v>
      </c>
      <c r="J211" s="11">
        <v>799</v>
      </c>
      <c r="K211" s="12">
        <v>0.1</v>
      </c>
      <c r="L211" s="2" t="s">
        <v>225</v>
      </c>
      <c r="M211" s="2" t="s">
        <v>195</v>
      </c>
      <c r="N211">
        <f>Table1[[#This Row],[Quantity]]*Table1[[#This Row],[Unit Price (₹)]]*(1-Table1[[#This Row],[Discount %]])</f>
        <v>2876.4</v>
      </c>
      <c r="O211" t="str">
        <f>TEXT(Table1[[#This Row],[Order Date]],"mmmm")</f>
        <v>November</v>
      </c>
      <c r="P211" t="str">
        <f>IF(Table1[[#This Row],[Revenue (₹)  ← add]]&gt;=15000,"High Value",IF(Table1[[#This Row],[Revenue (₹)  ← add]]&gt;=5000,"Medium","Low"))</f>
        <v>Low</v>
      </c>
      <c r="Q211">
        <f>VLOOKUP(Table1[[#This Row],[Product]],Table2[],4,FALSE)</f>
        <v>450</v>
      </c>
      <c r="R211">
        <f>Table1[[#This Row],[Revenue (₹)  ← add]]-Table1[[#This Row],[Cost Price  ← add]]</f>
        <v>2426.4</v>
      </c>
      <c r="S211">
        <f>IF(C211="", "",Table1[[#This Row],[Delivery Date]]-Table1[[#This Row],[Order Date]])</f>
        <v>9</v>
      </c>
      <c r="T211" t="str">
        <f>TEXT(Table1[[#This Row],[Order Date]],"DDDD")</f>
        <v>Saturday</v>
      </c>
    </row>
    <row r="212" spans="1:20" x14ac:dyDescent="0.3">
      <c r="A212" s="2" t="s">
        <v>446</v>
      </c>
      <c r="B212" s="10">
        <v>45969</v>
      </c>
      <c r="C212" s="10">
        <v>45978</v>
      </c>
      <c r="D212" s="2" t="s">
        <v>238</v>
      </c>
      <c r="E212" s="2" t="s">
        <v>254</v>
      </c>
      <c r="F212" s="2" t="s">
        <v>244</v>
      </c>
      <c r="G212" s="2" t="s">
        <v>217</v>
      </c>
      <c r="H212" s="2" t="s">
        <v>218</v>
      </c>
      <c r="I212" s="2">
        <v>3</v>
      </c>
      <c r="J212" s="11">
        <v>1499</v>
      </c>
      <c r="K212" s="12">
        <v>0</v>
      </c>
      <c r="L212" s="2" t="s">
        <v>203</v>
      </c>
      <c r="M212" s="2" t="s">
        <v>195</v>
      </c>
      <c r="N212">
        <f>Table1[[#This Row],[Quantity]]*Table1[[#This Row],[Unit Price (₹)]]*(1-Table1[[#This Row],[Discount %]])</f>
        <v>4497</v>
      </c>
      <c r="O212" t="str">
        <f>TEXT(Table1[[#This Row],[Order Date]],"mmmm")</f>
        <v>November</v>
      </c>
      <c r="P212" t="str">
        <f>IF(Table1[[#This Row],[Revenue (₹)  ← add]]&gt;=15000,"High Value",IF(Table1[[#This Row],[Revenue (₹)  ← add]]&gt;=5000,"Medium","Low"))</f>
        <v>Low</v>
      </c>
      <c r="Q212">
        <f>VLOOKUP(Table1[[#This Row],[Product]],Table2[],4,FALSE)</f>
        <v>850</v>
      </c>
      <c r="R212">
        <f>Table1[[#This Row],[Revenue (₹)  ← add]]-Table1[[#This Row],[Cost Price  ← add]]</f>
        <v>3647</v>
      </c>
      <c r="S212">
        <f>IF(C212="", "",Table1[[#This Row],[Delivery Date]]-Table1[[#This Row],[Order Date]])</f>
        <v>9</v>
      </c>
      <c r="T212" t="str">
        <f>TEXT(Table1[[#This Row],[Order Date]],"DDDD")</f>
        <v>Saturday</v>
      </c>
    </row>
    <row r="213" spans="1:20" x14ac:dyDescent="0.3">
      <c r="A213" s="2" t="s">
        <v>447</v>
      </c>
      <c r="B213" s="10">
        <v>45969</v>
      </c>
      <c r="C213" s="10">
        <v>45976</v>
      </c>
      <c r="D213" s="2" t="s">
        <v>222</v>
      </c>
      <c r="E213" s="2" t="s">
        <v>259</v>
      </c>
      <c r="F213" s="2" t="s">
        <v>224</v>
      </c>
      <c r="G213" s="2" t="s">
        <v>198</v>
      </c>
      <c r="H213" s="2" t="s">
        <v>208</v>
      </c>
      <c r="I213" s="2">
        <v>7</v>
      </c>
      <c r="J213" s="11">
        <v>599</v>
      </c>
      <c r="K213" s="12">
        <v>0.15</v>
      </c>
      <c r="L213" s="2" t="s">
        <v>194</v>
      </c>
      <c r="M213" s="2" t="s">
        <v>195</v>
      </c>
      <c r="N213">
        <f>Table1[[#This Row],[Quantity]]*Table1[[#This Row],[Unit Price (₹)]]*(1-Table1[[#This Row],[Discount %]])</f>
        <v>3564.0499999999997</v>
      </c>
      <c r="O213" t="str">
        <f>TEXT(Table1[[#This Row],[Order Date]],"mmmm")</f>
        <v>November</v>
      </c>
      <c r="P213" t="str">
        <f>IF(Table1[[#This Row],[Revenue (₹)  ← add]]&gt;=15000,"High Value",IF(Table1[[#This Row],[Revenue (₹)  ← add]]&gt;=5000,"Medium","Low"))</f>
        <v>Low</v>
      </c>
      <c r="Q213">
        <f>VLOOKUP(Table1[[#This Row],[Product]],Table2[],4,FALSE)</f>
        <v>300</v>
      </c>
      <c r="R213">
        <f>Table1[[#This Row],[Revenue (₹)  ← add]]-Table1[[#This Row],[Cost Price  ← add]]</f>
        <v>3264.0499999999997</v>
      </c>
      <c r="S213">
        <f>IF(C213="", "",Table1[[#This Row],[Delivery Date]]-Table1[[#This Row],[Order Date]])</f>
        <v>7</v>
      </c>
      <c r="T213" t="str">
        <f>TEXT(Table1[[#This Row],[Order Date]],"DDDD")</f>
        <v>Saturday</v>
      </c>
    </row>
    <row r="214" spans="1:20" x14ac:dyDescent="0.3">
      <c r="A214" s="2" t="s">
        <v>448</v>
      </c>
      <c r="B214" s="10">
        <v>45971</v>
      </c>
      <c r="C214" s="10">
        <v>45979</v>
      </c>
      <c r="D214" s="2" t="s">
        <v>222</v>
      </c>
      <c r="E214" s="2" t="s">
        <v>223</v>
      </c>
      <c r="F214" s="2" t="s">
        <v>249</v>
      </c>
      <c r="G214" s="2" t="s">
        <v>217</v>
      </c>
      <c r="H214" s="2" t="s">
        <v>228</v>
      </c>
      <c r="I214" s="2">
        <v>6</v>
      </c>
      <c r="J214" s="11">
        <v>799</v>
      </c>
      <c r="K214" s="12">
        <v>0.1</v>
      </c>
      <c r="L214" s="2" t="s">
        <v>225</v>
      </c>
      <c r="M214" s="2" t="s">
        <v>195</v>
      </c>
      <c r="N214">
        <f>Table1[[#This Row],[Quantity]]*Table1[[#This Row],[Unit Price (₹)]]*(1-Table1[[#This Row],[Discount %]])</f>
        <v>4314.6000000000004</v>
      </c>
      <c r="O214" t="str">
        <f>TEXT(Table1[[#This Row],[Order Date]],"mmmm")</f>
        <v>November</v>
      </c>
      <c r="P214" t="str">
        <f>IF(Table1[[#This Row],[Revenue (₹)  ← add]]&gt;=15000,"High Value",IF(Table1[[#This Row],[Revenue (₹)  ← add]]&gt;=5000,"Medium","Low"))</f>
        <v>Low</v>
      </c>
      <c r="Q214">
        <f>VLOOKUP(Table1[[#This Row],[Product]],Table2[],4,FALSE)</f>
        <v>450</v>
      </c>
      <c r="R214">
        <f>Table1[[#This Row],[Revenue (₹)  ← add]]-Table1[[#This Row],[Cost Price  ← add]]</f>
        <v>3864.6000000000004</v>
      </c>
      <c r="S214">
        <f>IF(C214="", "",Table1[[#This Row],[Delivery Date]]-Table1[[#This Row],[Order Date]])</f>
        <v>8</v>
      </c>
      <c r="T214" t="str">
        <f>TEXT(Table1[[#This Row],[Order Date]],"DDDD")</f>
        <v>Monday</v>
      </c>
    </row>
    <row r="215" spans="1:20" x14ac:dyDescent="0.3">
      <c r="A215" s="2" t="s">
        <v>449</v>
      </c>
      <c r="B215" s="10">
        <v>45976</v>
      </c>
      <c r="C215" s="10">
        <v>45985</v>
      </c>
      <c r="D215" s="2" t="s">
        <v>205</v>
      </c>
      <c r="E215" s="2" t="s">
        <v>206</v>
      </c>
      <c r="F215" s="2" t="s">
        <v>207</v>
      </c>
      <c r="G215" s="2" t="s">
        <v>198</v>
      </c>
      <c r="H215" s="2" t="s">
        <v>208</v>
      </c>
      <c r="I215" s="2">
        <v>7</v>
      </c>
      <c r="J215" s="11">
        <v>599</v>
      </c>
      <c r="K215" s="12">
        <v>0</v>
      </c>
      <c r="L215" s="2" t="s">
        <v>229</v>
      </c>
      <c r="M215" s="2" t="s">
        <v>195</v>
      </c>
      <c r="N215">
        <f>Table1[[#This Row],[Quantity]]*Table1[[#This Row],[Unit Price (₹)]]*(1-Table1[[#This Row],[Discount %]])</f>
        <v>4193</v>
      </c>
      <c r="O215" t="str">
        <f>TEXT(Table1[[#This Row],[Order Date]],"mmmm")</f>
        <v>November</v>
      </c>
      <c r="P215" t="str">
        <f>IF(Table1[[#This Row],[Revenue (₹)  ← add]]&gt;=15000,"High Value",IF(Table1[[#This Row],[Revenue (₹)  ← add]]&gt;=5000,"Medium","Low"))</f>
        <v>Low</v>
      </c>
      <c r="Q215">
        <f>VLOOKUP(Table1[[#This Row],[Product]],Table2[],4,FALSE)</f>
        <v>300</v>
      </c>
      <c r="R215">
        <f>Table1[[#This Row],[Revenue (₹)  ← add]]-Table1[[#This Row],[Cost Price  ← add]]</f>
        <v>3893</v>
      </c>
      <c r="S215">
        <f>IF(C215="", "",Table1[[#This Row],[Delivery Date]]-Table1[[#This Row],[Order Date]])</f>
        <v>9</v>
      </c>
      <c r="T215" t="str">
        <f>TEXT(Table1[[#This Row],[Order Date]],"DDDD")</f>
        <v>Saturday</v>
      </c>
    </row>
    <row r="216" spans="1:20" x14ac:dyDescent="0.3">
      <c r="A216" s="2" t="s">
        <v>450</v>
      </c>
      <c r="B216" s="10">
        <v>45976</v>
      </c>
      <c r="C216" s="10">
        <v>45983</v>
      </c>
      <c r="D216" s="2" t="s">
        <v>238</v>
      </c>
      <c r="E216" s="2" t="s">
        <v>239</v>
      </c>
      <c r="F216" s="2" t="s">
        <v>244</v>
      </c>
      <c r="G216" s="2" t="s">
        <v>217</v>
      </c>
      <c r="H216" s="2" t="s">
        <v>236</v>
      </c>
      <c r="I216" s="2">
        <v>4</v>
      </c>
      <c r="J216" s="11">
        <v>2499</v>
      </c>
      <c r="K216" s="12">
        <v>0</v>
      </c>
      <c r="L216" s="2" t="s">
        <v>203</v>
      </c>
      <c r="M216" s="2" t="s">
        <v>195</v>
      </c>
      <c r="N216">
        <f>Table1[[#This Row],[Quantity]]*Table1[[#This Row],[Unit Price (₹)]]*(1-Table1[[#This Row],[Discount %]])</f>
        <v>9996</v>
      </c>
      <c r="O216" t="str">
        <f>TEXT(Table1[[#This Row],[Order Date]],"mmmm")</f>
        <v>November</v>
      </c>
      <c r="P216" t="str">
        <f>IF(Table1[[#This Row],[Revenue (₹)  ← add]]&gt;=15000,"High Value",IF(Table1[[#This Row],[Revenue (₹)  ← add]]&gt;=5000,"Medium","Low"))</f>
        <v>Medium</v>
      </c>
      <c r="Q216">
        <f>VLOOKUP(Table1[[#This Row],[Product]],Table2[],4,FALSE)</f>
        <v>1500</v>
      </c>
      <c r="R216">
        <f>Table1[[#This Row],[Revenue (₹)  ← add]]-Table1[[#This Row],[Cost Price  ← add]]</f>
        <v>8496</v>
      </c>
      <c r="S216">
        <f>IF(C216="", "",Table1[[#This Row],[Delivery Date]]-Table1[[#This Row],[Order Date]])</f>
        <v>7</v>
      </c>
      <c r="T216" t="str">
        <f>TEXT(Table1[[#This Row],[Order Date]],"DDDD")</f>
        <v>Saturday</v>
      </c>
    </row>
    <row r="217" spans="1:20" x14ac:dyDescent="0.3">
      <c r="A217" s="2" t="s">
        <v>451</v>
      </c>
      <c r="B217" s="10">
        <v>45976</v>
      </c>
      <c r="C217" s="10">
        <v>45983</v>
      </c>
      <c r="D217" s="2" t="s">
        <v>238</v>
      </c>
      <c r="E217" s="2" t="s">
        <v>239</v>
      </c>
      <c r="F217" s="2" t="s">
        <v>244</v>
      </c>
      <c r="G217" s="2" t="s">
        <v>198</v>
      </c>
      <c r="H217" s="2" t="s">
        <v>199</v>
      </c>
      <c r="I217" s="2">
        <v>4</v>
      </c>
      <c r="J217" s="11">
        <v>2999</v>
      </c>
      <c r="K217" s="12">
        <v>0.1</v>
      </c>
      <c r="L217" s="2" t="s">
        <v>203</v>
      </c>
      <c r="M217" s="2" t="s">
        <v>195</v>
      </c>
      <c r="N217">
        <f>Table1[[#This Row],[Quantity]]*Table1[[#This Row],[Unit Price (₹)]]*(1-Table1[[#This Row],[Discount %]])</f>
        <v>10796.4</v>
      </c>
      <c r="O217" t="str">
        <f>TEXT(Table1[[#This Row],[Order Date]],"mmmm")</f>
        <v>November</v>
      </c>
      <c r="P217" t="str">
        <f>IF(Table1[[#This Row],[Revenue (₹)  ← add]]&gt;=15000,"High Value",IF(Table1[[#This Row],[Revenue (₹)  ← add]]&gt;=5000,"Medium","Low"))</f>
        <v>Medium</v>
      </c>
      <c r="Q217">
        <f>VLOOKUP(Table1[[#This Row],[Product]],Table2[],4,FALSE)</f>
        <v>1700</v>
      </c>
      <c r="R217">
        <f>Table1[[#This Row],[Revenue (₹)  ← add]]-Table1[[#This Row],[Cost Price  ← add]]</f>
        <v>9096.4</v>
      </c>
      <c r="S217">
        <f>IF(C217="", "",Table1[[#This Row],[Delivery Date]]-Table1[[#This Row],[Order Date]])</f>
        <v>7</v>
      </c>
      <c r="T217" t="str">
        <f>TEXT(Table1[[#This Row],[Order Date]],"DDDD")</f>
        <v>Saturday</v>
      </c>
    </row>
    <row r="218" spans="1:20" x14ac:dyDescent="0.3">
      <c r="A218" s="2" t="s">
        <v>452</v>
      </c>
      <c r="B218" s="10">
        <v>45977</v>
      </c>
      <c r="C218" s="10"/>
      <c r="D218" s="2" t="s">
        <v>189</v>
      </c>
      <c r="E218" s="2" t="s">
        <v>277</v>
      </c>
      <c r="F218" s="2" t="s">
        <v>213</v>
      </c>
      <c r="G218" s="2" t="s">
        <v>198</v>
      </c>
      <c r="H218" s="2" t="s">
        <v>208</v>
      </c>
      <c r="I218" s="2">
        <v>6</v>
      </c>
      <c r="J218" s="11">
        <v>599</v>
      </c>
      <c r="K218" s="12">
        <v>0</v>
      </c>
      <c r="L218" s="2" t="s">
        <v>203</v>
      </c>
      <c r="M218" s="2" t="s">
        <v>215</v>
      </c>
      <c r="N218">
        <f>Table1[[#This Row],[Quantity]]*Table1[[#This Row],[Unit Price (₹)]]*(1-Table1[[#This Row],[Discount %]])</f>
        <v>3594</v>
      </c>
      <c r="O218" t="str">
        <f>TEXT(Table1[[#This Row],[Order Date]],"mmmm")</f>
        <v>November</v>
      </c>
      <c r="P218" t="str">
        <f>IF(Table1[[#This Row],[Revenue (₹)  ← add]]&gt;=15000,"High Value",IF(Table1[[#This Row],[Revenue (₹)  ← add]]&gt;=5000,"Medium","Low"))</f>
        <v>Low</v>
      </c>
      <c r="Q218">
        <f>VLOOKUP(Table1[[#This Row],[Product]],Table2[],4,FALSE)</f>
        <v>300</v>
      </c>
      <c r="R218">
        <f>Table1[[#This Row],[Revenue (₹)  ← add]]-Table1[[#This Row],[Cost Price  ← add]]</f>
        <v>3294</v>
      </c>
      <c r="S218" t="str">
        <f>IF(C218="", "",Table1[[#This Row],[Delivery Date]]-Table1[[#This Row],[Order Date]])</f>
        <v/>
      </c>
      <c r="T218" t="str">
        <f>TEXT(Table1[[#This Row],[Order Date]],"DDDD")</f>
        <v>Sunday</v>
      </c>
    </row>
    <row r="219" spans="1:20" x14ac:dyDescent="0.3">
      <c r="A219" s="2" t="s">
        <v>453</v>
      </c>
      <c r="B219" s="10">
        <v>45977</v>
      </c>
      <c r="C219" s="10">
        <v>45986</v>
      </c>
      <c r="D219" s="2" t="s">
        <v>189</v>
      </c>
      <c r="E219" s="2" t="s">
        <v>277</v>
      </c>
      <c r="F219" s="2" t="s">
        <v>213</v>
      </c>
      <c r="G219" s="2" t="s">
        <v>192</v>
      </c>
      <c r="H219" s="2" t="s">
        <v>193</v>
      </c>
      <c r="I219" s="2">
        <v>13</v>
      </c>
      <c r="J219" s="11">
        <v>249</v>
      </c>
      <c r="K219" s="12">
        <v>0</v>
      </c>
      <c r="L219" s="2" t="s">
        <v>203</v>
      </c>
      <c r="M219" s="2" t="s">
        <v>195</v>
      </c>
      <c r="N219">
        <f>Table1[[#This Row],[Quantity]]*Table1[[#This Row],[Unit Price (₹)]]*(1-Table1[[#This Row],[Discount %]])</f>
        <v>3237</v>
      </c>
      <c r="O219" t="str">
        <f>TEXT(Table1[[#This Row],[Order Date]],"mmmm")</f>
        <v>November</v>
      </c>
      <c r="P219" t="str">
        <f>IF(Table1[[#This Row],[Revenue (₹)  ← add]]&gt;=15000,"High Value",IF(Table1[[#This Row],[Revenue (₹)  ← add]]&gt;=5000,"Medium","Low"))</f>
        <v>Low</v>
      </c>
      <c r="Q219">
        <f>VLOOKUP(Table1[[#This Row],[Product]],Table2[],4,FALSE)</f>
        <v>120</v>
      </c>
      <c r="R219">
        <f>Table1[[#This Row],[Revenue (₹)  ← add]]-Table1[[#This Row],[Cost Price  ← add]]</f>
        <v>3117</v>
      </c>
      <c r="S219">
        <f>IF(C219="", "",Table1[[#This Row],[Delivery Date]]-Table1[[#This Row],[Order Date]])</f>
        <v>9</v>
      </c>
      <c r="T219" t="str">
        <f>TEXT(Table1[[#This Row],[Order Date]],"DDDD")</f>
        <v>Sunday</v>
      </c>
    </row>
    <row r="220" spans="1:20" x14ac:dyDescent="0.3">
      <c r="A220" s="2" t="s">
        <v>454</v>
      </c>
      <c r="B220" s="10">
        <v>45977</v>
      </c>
      <c r="C220" s="10">
        <v>45982</v>
      </c>
      <c r="D220" s="2" t="s">
        <v>238</v>
      </c>
      <c r="E220" s="2" t="s">
        <v>239</v>
      </c>
      <c r="F220" s="2" t="s">
        <v>244</v>
      </c>
      <c r="G220" s="2" t="s">
        <v>201</v>
      </c>
      <c r="H220" s="2" t="s">
        <v>202</v>
      </c>
      <c r="I220" s="2">
        <v>2</v>
      </c>
      <c r="J220" s="11">
        <v>8499</v>
      </c>
      <c r="K220" s="12">
        <v>0.15</v>
      </c>
      <c r="L220" s="2" t="s">
        <v>229</v>
      </c>
      <c r="M220" s="2" t="s">
        <v>195</v>
      </c>
      <c r="N220">
        <f>Table1[[#This Row],[Quantity]]*Table1[[#This Row],[Unit Price (₹)]]*(1-Table1[[#This Row],[Discount %]])</f>
        <v>14448.3</v>
      </c>
      <c r="O220" t="str">
        <f>TEXT(Table1[[#This Row],[Order Date]],"mmmm")</f>
        <v>November</v>
      </c>
      <c r="P220" t="str">
        <f>IF(Table1[[#This Row],[Revenue (₹)  ← add]]&gt;=15000,"High Value",IF(Table1[[#This Row],[Revenue (₹)  ← add]]&gt;=5000,"Medium","Low"))</f>
        <v>Medium</v>
      </c>
      <c r="Q220">
        <f>VLOOKUP(Table1[[#This Row],[Product]],Table2[],4,FALSE)</f>
        <v>5200</v>
      </c>
      <c r="R220">
        <f>Table1[[#This Row],[Revenue (₹)  ← add]]-Table1[[#This Row],[Cost Price  ← add]]</f>
        <v>9248.2999999999993</v>
      </c>
      <c r="S220">
        <f>IF(C220="", "",Table1[[#This Row],[Delivery Date]]-Table1[[#This Row],[Order Date]])</f>
        <v>5</v>
      </c>
      <c r="T220" t="str">
        <f>TEXT(Table1[[#This Row],[Order Date]],"DDDD")</f>
        <v>Sunday</v>
      </c>
    </row>
    <row r="221" spans="1:20" x14ac:dyDescent="0.3">
      <c r="A221" s="2" t="s">
        <v>455</v>
      </c>
      <c r="B221" s="10">
        <v>45977</v>
      </c>
      <c r="C221" s="10">
        <v>45979</v>
      </c>
      <c r="D221" s="2" t="s">
        <v>189</v>
      </c>
      <c r="E221" s="2" t="s">
        <v>197</v>
      </c>
      <c r="F221" s="2" t="s">
        <v>213</v>
      </c>
      <c r="G221" s="2" t="s">
        <v>217</v>
      </c>
      <c r="H221" s="2" t="s">
        <v>236</v>
      </c>
      <c r="I221" s="2">
        <v>4</v>
      </c>
      <c r="J221" s="11">
        <v>2499</v>
      </c>
      <c r="K221" s="12">
        <v>0.2</v>
      </c>
      <c r="L221" s="2" t="s">
        <v>225</v>
      </c>
      <c r="M221" s="2" t="s">
        <v>195</v>
      </c>
      <c r="N221">
        <f>Table1[[#This Row],[Quantity]]*Table1[[#This Row],[Unit Price (₹)]]*(1-Table1[[#This Row],[Discount %]])</f>
        <v>7996.8</v>
      </c>
      <c r="O221" t="str">
        <f>TEXT(Table1[[#This Row],[Order Date]],"mmmm")</f>
        <v>November</v>
      </c>
      <c r="P221" t="str">
        <f>IF(Table1[[#This Row],[Revenue (₹)  ← add]]&gt;=15000,"High Value",IF(Table1[[#This Row],[Revenue (₹)  ← add]]&gt;=5000,"Medium","Low"))</f>
        <v>Medium</v>
      </c>
      <c r="Q221">
        <f>VLOOKUP(Table1[[#This Row],[Product]],Table2[],4,FALSE)</f>
        <v>1500</v>
      </c>
      <c r="R221">
        <f>Table1[[#This Row],[Revenue (₹)  ← add]]-Table1[[#This Row],[Cost Price  ← add]]</f>
        <v>6496.8</v>
      </c>
      <c r="S221">
        <f>IF(C221="", "",Table1[[#This Row],[Delivery Date]]-Table1[[#This Row],[Order Date]])</f>
        <v>2</v>
      </c>
      <c r="T221" t="str">
        <f>TEXT(Table1[[#This Row],[Order Date]],"DDDD")</f>
        <v>Sunday</v>
      </c>
    </row>
    <row r="222" spans="1:20" x14ac:dyDescent="0.3">
      <c r="A222" s="2" t="s">
        <v>456</v>
      </c>
      <c r="B222" s="10">
        <v>45979</v>
      </c>
      <c r="C222" s="10">
        <v>45987</v>
      </c>
      <c r="D222" s="2" t="s">
        <v>222</v>
      </c>
      <c r="E222" s="2" t="s">
        <v>231</v>
      </c>
      <c r="F222" s="2" t="s">
        <v>249</v>
      </c>
      <c r="G222" s="2" t="s">
        <v>217</v>
      </c>
      <c r="H222" s="2" t="s">
        <v>218</v>
      </c>
      <c r="I222" s="2">
        <v>6</v>
      </c>
      <c r="J222" s="11">
        <v>1499</v>
      </c>
      <c r="K222" s="12">
        <v>0.1</v>
      </c>
      <c r="L222" s="2" t="s">
        <v>214</v>
      </c>
      <c r="M222" s="2" t="s">
        <v>195</v>
      </c>
      <c r="N222">
        <f>Table1[[#This Row],[Quantity]]*Table1[[#This Row],[Unit Price (₹)]]*(1-Table1[[#This Row],[Discount %]])</f>
        <v>8094.6</v>
      </c>
      <c r="O222" t="str">
        <f>TEXT(Table1[[#This Row],[Order Date]],"mmmm")</f>
        <v>November</v>
      </c>
      <c r="P222" t="str">
        <f>IF(Table1[[#This Row],[Revenue (₹)  ← add]]&gt;=15000,"High Value",IF(Table1[[#This Row],[Revenue (₹)  ← add]]&gt;=5000,"Medium","Low"))</f>
        <v>Medium</v>
      </c>
      <c r="Q222">
        <f>VLOOKUP(Table1[[#This Row],[Product]],Table2[],4,FALSE)</f>
        <v>850</v>
      </c>
      <c r="R222">
        <f>Table1[[#This Row],[Revenue (₹)  ← add]]-Table1[[#This Row],[Cost Price  ← add]]</f>
        <v>7244.6</v>
      </c>
      <c r="S222">
        <f>IF(C222="", "",Table1[[#This Row],[Delivery Date]]-Table1[[#This Row],[Order Date]])</f>
        <v>8</v>
      </c>
      <c r="T222" t="str">
        <f>TEXT(Table1[[#This Row],[Order Date]],"DDDD")</f>
        <v>Tuesday</v>
      </c>
    </row>
    <row r="223" spans="1:20" x14ac:dyDescent="0.3">
      <c r="A223" s="2" t="s">
        <v>457</v>
      </c>
      <c r="B223" s="10">
        <v>45979</v>
      </c>
      <c r="C223" s="10">
        <v>45982</v>
      </c>
      <c r="D223" s="2" t="s">
        <v>222</v>
      </c>
      <c r="E223" s="2" t="s">
        <v>231</v>
      </c>
      <c r="F223" s="2" t="s">
        <v>224</v>
      </c>
      <c r="G223" s="2" t="s">
        <v>201</v>
      </c>
      <c r="H223" s="2" t="s">
        <v>202</v>
      </c>
      <c r="I223" s="2">
        <v>3</v>
      </c>
      <c r="J223" s="11">
        <v>8499</v>
      </c>
      <c r="K223" s="12">
        <v>0</v>
      </c>
      <c r="L223" s="2" t="s">
        <v>194</v>
      </c>
      <c r="M223" s="2" t="s">
        <v>195</v>
      </c>
      <c r="N223">
        <f>Table1[[#This Row],[Quantity]]*Table1[[#This Row],[Unit Price (₹)]]*(1-Table1[[#This Row],[Discount %]])</f>
        <v>25497</v>
      </c>
      <c r="O223" t="str">
        <f>TEXT(Table1[[#This Row],[Order Date]],"mmmm")</f>
        <v>November</v>
      </c>
      <c r="P223" t="str">
        <f>IF(Table1[[#This Row],[Revenue (₹)  ← add]]&gt;=15000,"High Value",IF(Table1[[#This Row],[Revenue (₹)  ← add]]&gt;=5000,"Medium","Low"))</f>
        <v>High Value</v>
      </c>
      <c r="Q223">
        <f>VLOOKUP(Table1[[#This Row],[Product]],Table2[],4,FALSE)</f>
        <v>5200</v>
      </c>
      <c r="R223">
        <f>Table1[[#This Row],[Revenue (₹)  ← add]]-Table1[[#This Row],[Cost Price  ← add]]</f>
        <v>20297</v>
      </c>
      <c r="S223">
        <f>IF(C223="", "",Table1[[#This Row],[Delivery Date]]-Table1[[#This Row],[Order Date]])</f>
        <v>3</v>
      </c>
      <c r="T223" t="str">
        <f>TEXT(Table1[[#This Row],[Order Date]],"DDDD")</f>
        <v>Tuesday</v>
      </c>
    </row>
    <row r="224" spans="1:20" x14ac:dyDescent="0.3">
      <c r="A224" s="2" t="s">
        <v>458</v>
      </c>
      <c r="B224" s="10">
        <v>45979</v>
      </c>
      <c r="C224" s="10">
        <v>45984</v>
      </c>
      <c r="D224" s="2" t="s">
        <v>205</v>
      </c>
      <c r="E224" s="2" t="s">
        <v>206</v>
      </c>
      <c r="F224" s="2" t="s">
        <v>211</v>
      </c>
      <c r="G224" s="2" t="s">
        <v>217</v>
      </c>
      <c r="H224" s="2" t="s">
        <v>236</v>
      </c>
      <c r="I224" s="2">
        <v>2</v>
      </c>
      <c r="J224" s="11">
        <v>2499</v>
      </c>
      <c r="K224" s="12">
        <v>0.15</v>
      </c>
      <c r="L224" s="2" t="s">
        <v>229</v>
      </c>
      <c r="M224" s="2" t="s">
        <v>195</v>
      </c>
      <c r="N224">
        <f>Table1[[#This Row],[Quantity]]*Table1[[#This Row],[Unit Price (₹)]]*(1-Table1[[#This Row],[Discount %]])</f>
        <v>4248.3</v>
      </c>
      <c r="O224" t="str">
        <f>TEXT(Table1[[#This Row],[Order Date]],"mmmm")</f>
        <v>November</v>
      </c>
      <c r="P224" t="str">
        <f>IF(Table1[[#This Row],[Revenue (₹)  ← add]]&gt;=15000,"High Value",IF(Table1[[#This Row],[Revenue (₹)  ← add]]&gt;=5000,"Medium","Low"))</f>
        <v>Low</v>
      </c>
      <c r="Q224">
        <f>VLOOKUP(Table1[[#This Row],[Product]],Table2[],4,FALSE)</f>
        <v>1500</v>
      </c>
      <c r="R224">
        <f>Table1[[#This Row],[Revenue (₹)  ← add]]-Table1[[#This Row],[Cost Price  ← add]]</f>
        <v>2748.3</v>
      </c>
      <c r="S224">
        <f>IF(C224="", "",Table1[[#This Row],[Delivery Date]]-Table1[[#This Row],[Order Date]])</f>
        <v>5</v>
      </c>
      <c r="T224" t="str">
        <f>TEXT(Table1[[#This Row],[Order Date]],"DDDD")</f>
        <v>Tuesday</v>
      </c>
    </row>
    <row r="225" spans="1:20" x14ac:dyDescent="0.3">
      <c r="A225" s="2" t="s">
        <v>459</v>
      </c>
      <c r="B225" s="10">
        <v>45980</v>
      </c>
      <c r="C225" s="10">
        <v>45984</v>
      </c>
      <c r="D225" s="2" t="s">
        <v>205</v>
      </c>
      <c r="E225" s="2" t="s">
        <v>227</v>
      </c>
      <c r="F225" s="2" t="s">
        <v>211</v>
      </c>
      <c r="G225" s="2" t="s">
        <v>192</v>
      </c>
      <c r="H225" s="2" t="s">
        <v>193</v>
      </c>
      <c r="I225" s="2">
        <v>6</v>
      </c>
      <c r="J225" s="11">
        <v>249</v>
      </c>
      <c r="K225" s="12">
        <v>0</v>
      </c>
      <c r="L225" s="2" t="s">
        <v>229</v>
      </c>
      <c r="M225" s="2" t="s">
        <v>195</v>
      </c>
      <c r="N225">
        <f>Table1[[#This Row],[Quantity]]*Table1[[#This Row],[Unit Price (₹)]]*(1-Table1[[#This Row],[Discount %]])</f>
        <v>1494</v>
      </c>
      <c r="O225" t="str">
        <f>TEXT(Table1[[#This Row],[Order Date]],"mmmm")</f>
        <v>November</v>
      </c>
      <c r="P225" t="str">
        <f>IF(Table1[[#This Row],[Revenue (₹)  ← add]]&gt;=15000,"High Value",IF(Table1[[#This Row],[Revenue (₹)  ← add]]&gt;=5000,"Medium","Low"))</f>
        <v>Low</v>
      </c>
      <c r="Q225">
        <f>VLOOKUP(Table1[[#This Row],[Product]],Table2[],4,FALSE)</f>
        <v>120</v>
      </c>
      <c r="R225">
        <f>Table1[[#This Row],[Revenue (₹)  ← add]]-Table1[[#This Row],[Cost Price  ← add]]</f>
        <v>1374</v>
      </c>
      <c r="S225">
        <f>IF(C225="", "",Table1[[#This Row],[Delivery Date]]-Table1[[#This Row],[Order Date]])</f>
        <v>4</v>
      </c>
      <c r="T225" t="str">
        <f>TEXT(Table1[[#This Row],[Order Date]],"DDDD")</f>
        <v>Wednesday</v>
      </c>
    </row>
    <row r="226" spans="1:20" x14ac:dyDescent="0.3">
      <c r="A226" s="2" t="s">
        <v>460</v>
      </c>
      <c r="B226" s="10">
        <v>45982</v>
      </c>
      <c r="C226" s="10"/>
      <c r="D226" s="2" t="s">
        <v>222</v>
      </c>
      <c r="E226" s="2" t="s">
        <v>259</v>
      </c>
      <c r="F226" s="2" t="s">
        <v>249</v>
      </c>
      <c r="G226" s="2" t="s">
        <v>201</v>
      </c>
      <c r="H226" s="2" t="s">
        <v>250</v>
      </c>
      <c r="I226" s="2">
        <v>3</v>
      </c>
      <c r="J226" s="11">
        <v>5499</v>
      </c>
      <c r="K226" s="12">
        <v>0.1</v>
      </c>
      <c r="L226" s="2" t="s">
        <v>203</v>
      </c>
      <c r="M226" s="2" t="s">
        <v>215</v>
      </c>
      <c r="N226">
        <f>Table1[[#This Row],[Quantity]]*Table1[[#This Row],[Unit Price (₹)]]*(1-Table1[[#This Row],[Discount %]])</f>
        <v>14847.300000000001</v>
      </c>
      <c r="O226" t="str">
        <f>TEXT(Table1[[#This Row],[Order Date]],"mmmm")</f>
        <v>November</v>
      </c>
      <c r="P226" t="str">
        <f>IF(Table1[[#This Row],[Revenue (₹)  ← add]]&gt;=15000,"High Value",IF(Table1[[#This Row],[Revenue (₹)  ← add]]&gt;=5000,"Medium","Low"))</f>
        <v>Medium</v>
      </c>
      <c r="Q226">
        <f>VLOOKUP(Table1[[#This Row],[Product]],Table2[],4,FALSE)</f>
        <v>3300</v>
      </c>
      <c r="R226">
        <f>Table1[[#This Row],[Revenue (₹)  ← add]]-Table1[[#This Row],[Cost Price  ← add]]</f>
        <v>11547.300000000001</v>
      </c>
      <c r="S226" t="str">
        <f>IF(C226="", "",Table1[[#This Row],[Delivery Date]]-Table1[[#This Row],[Order Date]])</f>
        <v/>
      </c>
      <c r="T226" t="str">
        <f>TEXT(Table1[[#This Row],[Order Date]],"DDDD")</f>
        <v>Friday</v>
      </c>
    </row>
    <row r="227" spans="1:20" x14ac:dyDescent="0.3">
      <c r="A227" s="2" t="s">
        <v>461</v>
      </c>
      <c r="B227" s="10">
        <v>45983</v>
      </c>
      <c r="C227" s="10">
        <v>45985</v>
      </c>
      <c r="D227" s="2" t="s">
        <v>205</v>
      </c>
      <c r="E227" s="2" t="s">
        <v>227</v>
      </c>
      <c r="F227" s="2" t="s">
        <v>207</v>
      </c>
      <c r="G227" s="2" t="s">
        <v>217</v>
      </c>
      <c r="H227" s="2" t="s">
        <v>236</v>
      </c>
      <c r="I227" s="2">
        <v>5</v>
      </c>
      <c r="J227" s="11">
        <v>2499</v>
      </c>
      <c r="K227" s="12">
        <v>0</v>
      </c>
      <c r="L227" s="2" t="s">
        <v>229</v>
      </c>
      <c r="M227" s="2" t="s">
        <v>195</v>
      </c>
      <c r="N227">
        <f>Table1[[#This Row],[Quantity]]*Table1[[#This Row],[Unit Price (₹)]]*(1-Table1[[#This Row],[Discount %]])</f>
        <v>12495</v>
      </c>
      <c r="O227" t="str">
        <f>TEXT(Table1[[#This Row],[Order Date]],"mmmm")</f>
        <v>November</v>
      </c>
      <c r="P227" t="str">
        <f>IF(Table1[[#This Row],[Revenue (₹)  ← add]]&gt;=15000,"High Value",IF(Table1[[#This Row],[Revenue (₹)  ← add]]&gt;=5000,"Medium","Low"))</f>
        <v>Medium</v>
      </c>
      <c r="Q227">
        <f>VLOOKUP(Table1[[#This Row],[Product]],Table2[],4,FALSE)</f>
        <v>1500</v>
      </c>
      <c r="R227">
        <f>Table1[[#This Row],[Revenue (₹)  ← add]]-Table1[[#This Row],[Cost Price  ← add]]</f>
        <v>10995</v>
      </c>
      <c r="S227">
        <f>IF(C227="", "",Table1[[#This Row],[Delivery Date]]-Table1[[#This Row],[Order Date]])</f>
        <v>2</v>
      </c>
      <c r="T227" t="str">
        <f>TEXT(Table1[[#This Row],[Order Date]],"DDDD")</f>
        <v>Saturday</v>
      </c>
    </row>
    <row r="228" spans="1:20" x14ac:dyDescent="0.3">
      <c r="A228" s="2" t="s">
        <v>462</v>
      </c>
      <c r="B228" s="10">
        <v>45984</v>
      </c>
      <c r="C228" s="10">
        <v>45987</v>
      </c>
      <c r="D228" s="2" t="s">
        <v>222</v>
      </c>
      <c r="E228" s="2" t="s">
        <v>259</v>
      </c>
      <c r="F228" s="2" t="s">
        <v>249</v>
      </c>
      <c r="G228" s="2" t="s">
        <v>217</v>
      </c>
      <c r="H228" s="2" t="s">
        <v>255</v>
      </c>
      <c r="I228" s="2">
        <v>6</v>
      </c>
      <c r="J228" s="11">
        <v>1999</v>
      </c>
      <c r="K228" s="12">
        <v>0.2</v>
      </c>
      <c r="L228" s="2" t="s">
        <v>203</v>
      </c>
      <c r="M228" s="2" t="s">
        <v>195</v>
      </c>
      <c r="N228">
        <f>Table1[[#This Row],[Quantity]]*Table1[[#This Row],[Unit Price (₹)]]*(1-Table1[[#This Row],[Discount %]])</f>
        <v>9595.2000000000007</v>
      </c>
      <c r="O228" t="str">
        <f>TEXT(Table1[[#This Row],[Order Date]],"mmmm")</f>
        <v>November</v>
      </c>
      <c r="P228" t="str">
        <f>IF(Table1[[#This Row],[Revenue (₹)  ← add]]&gt;=15000,"High Value",IF(Table1[[#This Row],[Revenue (₹)  ← add]]&gt;=5000,"Medium","Low"))</f>
        <v>Medium</v>
      </c>
      <c r="Q228">
        <f>VLOOKUP(Table1[[#This Row],[Product]],Table2[],4,FALSE)</f>
        <v>1100</v>
      </c>
      <c r="R228">
        <f>Table1[[#This Row],[Revenue (₹)  ← add]]-Table1[[#This Row],[Cost Price  ← add]]</f>
        <v>8495.2000000000007</v>
      </c>
      <c r="S228">
        <f>IF(C228="", "",Table1[[#This Row],[Delivery Date]]-Table1[[#This Row],[Order Date]])</f>
        <v>3</v>
      </c>
      <c r="T228" t="str">
        <f>TEXT(Table1[[#This Row],[Order Date]],"DDDD")</f>
        <v>Sunday</v>
      </c>
    </row>
    <row r="229" spans="1:20" x14ac:dyDescent="0.3">
      <c r="A229" s="2" t="s">
        <v>463</v>
      </c>
      <c r="B229" s="10">
        <v>45986</v>
      </c>
      <c r="C229" s="10">
        <v>45995</v>
      </c>
      <c r="D229" s="2" t="s">
        <v>205</v>
      </c>
      <c r="E229" s="2" t="s">
        <v>210</v>
      </c>
      <c r="F229" s="2" t="s">
        <v>207</v>
      </c>
      <c r="G229" s="2" t="s">
        <v>201</v>
      </c>
      <c r="H229" s="2" t="s">
        <v>250</v>
      </c>
      <c r="I229" s="2">
        <v>2</v>
      </c>
      <c r="J229" s="11">
        <v>5499</v>
      </c>
      <c r="K229" s="12">
        <v>0.2</v>
      </c>
      <c r="L229" s="2" t="s">
        <v>203</v>
      </c>
      <c r="M229" s="2" t="s">
        <v>195</v>
      </c>
      <c r="N229">
        <f>Table1[[#This Row],[Quantity]]*Table1[[#This Row],[Unit Price (₹)]]*(1-Table1[[#This Row],[Discount %]])</f>
        <v>8798.4</v>
      </c>
      <c r="O229" t="str">
        <f>TEXT(Table1[[#This Row],[Order Date]],"mmmm")</f>
        <v>November</v>
      </c>
      <c r="P229" t="str">
        <f>IF(Table1[[#This Row],[Revenue (₹)  ← add]]&gt;=15000,"High Value",IF(Table1[[#This Row],[Revenue (₹)  ← add]]&gt;=5000,"Medium","Low"))</f>
        <v>Medium</v>
      </c>
      <c r="Q229">
        <f>VLOOKUP(Table1[[#This Row],[Product]],Table2[],4,FALSE)</f>
        <v>3300</v>
      </c>
      <c r="R229">
        <f>Table1[[#This Row],[Revenue (₹)  ← add]]-Table1[[#This Row],[Cost Price  ← add]]</f>
        <v>5498.4</v>
      </c>
      <c r="S229">
        <f>IF(C229="", "",Table1[[#This Row],[Delivery Date]]-Table1[[#This Row],[Order Date]])</f>
        <v>9</v>
      </c>
      <c r="T229" t="str">
        <f>TEXT(Table1[[#This Row],[Order Date]],"DDDD")</f>
        <v>Tuesday</v>
      </c>
    </row>
    <row r="230" spans="1:20" x14ac:dyDescent="0.3">
      <c r="A230" s="2" t="s">
        <v>464</v>
      </c>
      <c r="B230" s="10">
        <v>45986</v>
      </c>
      <c r="C230" s="10">
        <v>45992</v>
      </c>
      <c r="D230" s="2" t="s">
        <v>205</v>
      </c>
      <c r="E230" s="2" t="s">
        <v>227</v>
      </c>
      <c r="F230" s="2" t="s">
        <v>211</v>
      </c>
      <c r="G230" s="2" t="s">
        <v>201</v>
      </c>
      <c r="H230" s="2" t="s">
        <v>202</v>
      </c>
      <c r="I230" s="2">
        <v>3</v>
      </c>
      <c r="J230" s="11">
        <v>8499</v>
      </c>
      <c r="K230" s="12">
        <v>0.1</v>
      </c>
      <c r="L230" s="2" t="s">
        <v>225</v>
      </c>
      <c r="M230" s="2" t="s">
        <v>195</v>
      </c>
      <c r="N230">
        <f>Table1[[#This Row],[Quantity]]*Table1[[#This Row],[Unit Price (₹)]]*(1-Table1[[#This Row],[Discount %]])</f>
        <v>22947.3</v>
      </c>
      <c r="O230" t="str">
        <f>TEXT(Table1[[#This Row],[Order Date]],"mmmm")</f>
        <v>November</v>
      </c>
      <c r="P230" t="str">
        <f>IF(Table1[[#This Row],[Revenue (₹)  ← add]]&gt;=15000,"High Value",IF(Table1[[#This Row],[Revenue (₹)  ← add]]&gt;=5000,"Medium","Low"))</f>
        <v>High Value</v>
      </c>
      <c r="Q230">
        <f>VLOOKUP(Table1[[#This Row],[Product]],Table2[],4,FALSE)</f>
        <v>5200</v>
      </c>
      <c r="R230">
        <f>Table1[[#This Row],[Revenue (₹)  ← add]]-Table1[[#This Row],[Cost Price  ← add]]</f>
        <v>17747.3</v>
      </c>
      <c r="S230">
        <f>IF(C230="", "",Table1[[#This Row],[Delivery Date]]-Table1[[#This Row],[Order Date]])</f>
        <v>6</v>
      </c>
      <c r="T230" t="str">
        <f>TEXT(Table1[[#This Row],[Order Date]],"DDDD")</f>
        <v>Tuesday</v>
      </c>
    </row>
    <row r="231" spans="1:20" x14ac:dyDescent="0.3">
      <c r="A231" s="2" t="s">
        <v>465</v>
      </c>
      <c r="B231" s="10">
        <v>45987</v>
      </c>
      <c r="C231" s="10">
        <v>45991</v>
      </c>
      <c r="D231" s="2" t="s">
        <v>189</v>
      </c>
      <c r="E231" s="2" t="s">
        <v>277</v>
      </c>
      <c r="F231" s="2" t="s">
        <v>191</v>
      </c>
      <c r="G231" s="2" t="s">
        <v>217</v>
      </c>
      <c r="H231" s="2" t="s">
        <v>218</v>
      </c>
      <c r="I231" s="2">
        <v>1</v>
      </c>
      <c r="J231" s="11">
        <v>1499</v>
      </c>
      <c r="K231" s="12">
        <v>0.05</v>
      </c>
      <c r="L231" s="2" t="s">
        <v>203</v>
      </c>
      <c r="M231" s="2" t="s">
        <v>195</v>
      </c>
      <c r="N231">
        <f>Table1[[#This Row],[Quantity]]*Table1[[#This Row],[Unit Price (₹)]]*(1-Table1[[#This Row],[Discount %]])</f>
        <v>1424.05</v>
      </c>
      <c r="O231" t="str">
        <f>TEXT(Table1[[#This Row],[Order Date]],"mmmm")</f>
        <v>November</v>
      </c>
      <c r="P231" t="str">
        <f>IF(Table1[[#This Row],[Revenue (₹)  ← add]]&gt;=15000,"High Value",IF(Table1[[#This Row],[Revenue (₹)  ← add]]&gt;=5000,"Medium","Low"))</f>
        <v>Low</v>
      </c>
      <c r="Q231">
        <f>VLOOKUP(Table1[[#This Row],[Product]],Table2[],4,FALSE)</f>
        <v>850</v>
      </c>
      <c r="R231">
        <f>Table1[[#This Row],[Revenue (₹)  ← add]]-Table1[[#This Row],[Cost Price  ← add]]</f>
        <v>574.04999999999995</v>
      </c>
      <c r="S231">
        <f>IF(C231="", "",Table1[[#This Row],[Delivery Date]]-Table1[[#This Row],[Order Date]])</f>
        <v>4</v>
      </c>
      <c r="T231" t="str">
        <f>TEXT(Table1[[#This Row],[Order Date]],"DDDD")</f>
        <v>Wednesday</v>
      </c>
    </row>
    <row r="232" spans="1:20" x14ac:dyDescent="0.3">
      <c r="A232" s="2" t="s">
        <v>466</v>
      </c>
      <c r="B232" s="10">
        <v>45988</v>
      </c>
      <c r="C232" s="10">
        <v>45994</v>
      </c>
      <c r="D232" s="2" t="s">
        <v>205</v>
      </c>
      <c r="E232" s="2" t="s">
        <v>227</v>
      </c>
      <c r="F232" s="2" t="s">
        <v>207</v>
      </c>
      <c r="G232" s="2" t="s">
        <v>217</v>
      </c>
      <c r="H232" s="2" t="s">
        <v>255</v>
      </c>
      <c r="I232" s="2">
        <v>3</v>
      </c>
      <c r="J232" s="11">
        <v>1999</v>
      </c>
      <c r="K232" s="12">
        <v>0.1</v>
      </c>
      <c r="L232" s="2" t="s">
        <v>229</v>
      </c>
      <c r="M232" s="2" t="s">
        <v>195</v>
      </c>
      <c r="N232">
        <f>Table1[[#This Row],[Quantity]]*Table1[[#This Row],[Unit Price (₹)]]*(1-Table1[[#This Row],[Discount %]])</f>
        <v>5397.3</v>
      </c>
      <c r="O232" t="str">
        <f>TEXT(Table1[[#This Row],[Order Date]],"mmmm")</f>
        <v>November</v>
      </c>
      <c r="P232" t="str">
        <f>IF(Table1[[#This Row],[Revenue (₹)  ← add]]&gt;=15000,"High Value",IF(Table1[[#This Row],[Revenue (₹)  ← add]]&gt;=5000,"Medium","Low"))</f>
        <v>Medium</v>
      </c>
      <c r="Q232">
        <f>VLOOKUP(Table1[[#This Row],[Product]],Table2[],4,FALSE)</f>
        <v>1100</v>
      </c>
      <c r="R232">
        <f>Table1[[#This Row],[Revenue (₹)  ← add]]-Table1[[#This Row],[Cost Price  ← add]]</f>
        <v>4297.3</v>
      </c>
      <c r="S232">
        <f>IF(C232="", "",Table1[[#This Row],[Delivery Date]]-Table1[[#This Row],[Order Date]])</f>
        <v>6</v>
      </c>
      <c r="T232" t="str">
        <f>TEXT(Table1[[#This Row],[Order Date]],"DDDD")</f>
        <v>Thursday</v>
      </c>
    </row>
    <row r="233" spans="1:20" x14ac:dyDescent="0.3">
      <c r="A233" s="2" t="s">
        <v>467</v>
      </c>
      <c r="B233" s="10">
        <v>45990</v>
      </c>
      <c r="C233" s="10">
        <v>45997</v>
      </c>
      <c r="D233" s="2" t="s">
        <v>205</v>
      </c>
      <c r="E233" s="2" t="s">
        <v>206</v>
      </c>
      <c r="F233" s="2" t="s">
        <v>211</v>
      </c>
      <c r="G233" s="2" t="s">
        <v>198</v>
      </c>
      <c r="H233" s="2" t="s">
        <v>208</v>
      </c>
      <c r="I233" s="2">
        <v>8</v>
      </c>
      <c r="J233" s="11">
        <v>599</v>
      </c>
      <c r="K233" s="12">
        <v>0</v>
      </c>
      <c r="L233" s="2" t="s">
        <v>229</v>
      </c>
      <c r="M233" s="2" t="s">
        <v>195</v>
      </c>
      <c r="N233">
        <f>Table1[[#This Row],[Quantity]]*Table1[[#This Row],[Unit Price (₹)]]*(1-Table1[[#This Row],[Discount %]])</f>
        <v>4792</v>
      </c>
      <c r="O233" t="str">
        <f>TEXT(Table1[[#This Row],[Order Date]],"mmmm")</f>
        <v>November</v>
      </c>
      <c r="P233" t="str">
        <f>IF(Table1[[#This Row],[Revenue (₹)  ← add]]&gt;=15000,"High Value",IF(Table1[[#This Row],[Revenue (₹)  ← add]]&gt;=5000,"Medium","Low"))</f>
        <v>Low</v>
      </c>
      <c r="Q233">
        <f>VLOOKUP(Table1[[#This Row],[Product]],Table2[],4,FALSE)</f>
        <v>300</v>
      </c>
      <c r="R233">
        <f>Table1[[#This Row],[Revenue (₹)  ← add]]-Table1[[#This Row],[Cost Price  ← add]]</f>
        <v>4492</v>
      </c>
      <c r="S233">
        <f>IF(C233="", "",Table1[[#This Row],[Delivery Date]]-Table1[[#This Row],[Order Date]])</f>
        <v>7</v>
      </c>
      <c r="T233" t="str">
        <f>TEXT(Table1[[#This Row],[Order Date]],"DDDD")</f>
        <v>Saturday</v>
      </c>
    </row>
    <row r="234" spans="1:20" x14ac:dyDescent="0.3">
      <c r="A234" s="2" t="s">
        <v>468</v>
      </c>
      <c r="B234" s="10">
        <v>45990</v>
      </c>
      <c r="C234" s="10">
        <v>45992</v>
      </c>
      <c r="D234" s="2" t="s">
        <v>205</v>
      </c>
      <c r="E234" s="2" t="s">
        <v>206</v>
      </c>
      <c r="F234" s="2" t="s">
        <v>207</v>
      </c>
      <c r="G234" s="2" t="s">
        <v>198</v>
      </c>
      <c r="H234" s="2" t="s">
        <v>208</v>
      </c>
      <c r="I234" s="2">
        <v>8</v>
      </c>
      <c r="J234" s="11">
        <v>599</v>
      </c>
      <c r="K234" s="12">
        <v>0.1</v>
      </c>
      <c r="L234" s="2" t="s">
        <v>225</v>
      </c>
      <c r="M234" s="2" t="s">
        <v>195</v>
      </c>
      <c r="N234">
        <f>Table1[[#This Row],[Quantity]]*Table1[[#This Row],[Unit Price (₹)]]*(1-Table1[[#This Row],[Discount %]])</f>
        <v>4312.8</v>
      </c>
      <c r="O234" t="str">
        <f>TEXT(Table1[[#This Row],[Order Date]],"mmmm")</f>
        <v>November</v>
      </c>
      <c r="P234" t="str">
        <f>IF(Table1[[#This Row],[Revenue (₹)  ← add]]&gt;=15000,"High Value",IF(Table1[[#This Row],[Revenue (₹)  ← add]]&gt;=5000,"Medium","Low"))</f>
        <v>Low</v>
      </c>
      <c r="Q234">
        <f>VLOOKUP(Table1[[#This Row],[Product]],Table2[],4,FALSE)</f>
        <v>300</v>
      </c>
      <c r="R234">
        <f>Table1[[#This Row],[Revenue (₹)  ← add]]-Table1[[#This Row],[Cost Price  ← add]]</f>
        <v>4012.8</v>
      </c>
      <c r="S234">
        <f>IF(C234="", "",Table1[[#This Row],[Delivery Date]]-Table1[[#This Row],[Order Date]])</f>
        <v>2</v>
      </c>
      <c r="T234" t="str">
        <f>TEXT(Table1[[#This Row],[Order Date]],"DDDD")</f>
        <v>Saturday</v>
      </c>
    </row>
    <row r="235" spans="1:20" x14ac:dyDescent="0.3">
      <c r="A235" s="2" t="s">
        <v>469</v>
      </c>
      <c r="B235" s="10">
        <v>45994</v>
      </c>
      <c r="C235" s="10">
        <v>45997</v>
      </c>
      <c r="D235" s="2" t="s">
        <v>205</v>
      </c>
      <c r="E235" s="2" t="s">
        <v>206</v>
      </c>
      <c r="F235" s="2" t="s">
        <v>211</v>
      </c>
      <c r="G235" s="2" t="s">
        <v>201</v>
      </c>
      <c r="H235" s="2" t="s">
        <v>250</v>
      </c>
      <c r="I235" s="2">
        <v>3</v>
      </c>
      <c r="J235" s="11">
        <v>5499</v>
      </c>
      <c r="K235" s="12">
        <v>0.1</v>
      </c>
      <c r="L235" s="2" t="s">
        <v>229</v>
      </c>
      <c r="M235" s="2" t="s">
        <v>195</v>
      </c>
      <c r="N235">
        <f>Table1[[#This Row],[Quantity]]*Table1[[#This Row],[Unit Price (₹)]]*(1-Table1[[#This Row],[Discount %]])</f>
        <v>14847.300000000001</v>
      </c>
      <c r="O235" t="str">
        <f>TEXT(Table1[[#This Row],[Order Date]],"mmmm")</f>
        <v>December</v>
      </c>
      <c r="P235" t="str">
        <f>IF(Table1[[#This Row],[Revenue (₹)  ← add]]&gt;=15000,"High Value",IF(Table1[[#This Row],[Revenue (₹)  ← add]]&gt;=5000,"Medium","Low"))</f>
        <v>Medium</v>
      </c>
      <c r="Q235">
        <f>VLOOKUP(Table1[[#This Row],[Product]],Table2[],4,FALSE)</f>
        <v>3300</v>
      </c>
      <c r="R235">
        <f>Table1[[#This Row],[Revenue (₹)  ← add]]-Table1[[#This Row],[Cost Price  ← add]]</f>
        <v>11547.300000000001</v>
      </c>
      <c r="S235">
        <f>IF(C235="", "",Table1[[#This Row],[Delivery Date]]-Table1[[#This Row],[Order Date]])</f>
        <v>3</v>
      </c>
      <c r="T235" t="str">
        <f>TEXT(Table1[[#This Row],[Order Date]],"DDDD")</f>
        <v>Wednesday</v>
      </c>
    </row>
    <row r="236" spans="1:20" x14ac:dyDescent="0.3">
      <c r="A236" s="2" t="s">
        <v>470</v>
      </c>
      <c r="B236" s="10">
        <v>45994</v>
      </c>
      <c r="C236" s="10">
        <v>45999</v>
      </c>
      <c r="D236" s="2" t="s">
        <v>189</v>
      </c>
      <c r="E236" s="2" t="s">
        <v>277</v>
      </c>
      <c r="F236" s="2" t="s">
        <v>213</v>
      </c>
      <c r="G236" s="2" t="s">
        <v>198</v>
      </c>
      <c r="H236" s="2" t="s">
        <v>208</v>
      </c>
      <c r="I236" s="2">
        <v>8</v>
      </c>
      <c r="J236" s="11">
        <v>599</v>
      </c>
      <c r="K236" s="12">
        <v>0.05</v>
      </c>
      <c r="L236" s="2" t="s">
        <v>194</v>
      </c>
      <c r="M236" s="2" t="s">
        <v>195</v>
      </c>
      <c r="N236">
        <f>Table1[[#This Row],[Quantity]]*Table1[[#This Row],[Unit Price (₹)]]*(1-Table1[[#This Row],[Discount %]])</f>
        <v>4552.3999999999996</v>
      </c>
      <c r="O236" t="str">
        <f>TEXT(Table1[[#This Row],[Order Date]],"mmmm")</f>
        <v>December</v>
      </c>
      <c r="P236" t="str">
        <f>IF(Table1[[#This Row],[Revenue (₹)  ← add]]&gt;=15000,"High Value",IF(Table1[[#This Row],[Revenue (₹)  ← add]]&gt;=5000,"Medium","Low"))</f>
        <v>Low</v>
      </c>
      <c r="Q236">
        <f>VLOOKUP(Table1[[#This Row],[Product]],Table2[],4,FALSE)</f>
        <v>300</v>
      </c>
      <c r="R236">
        <f>Table1[[#This Row],[Revenue (₹)  ← add]]-Table1[[#This Row],[Cost Price  ← add]]</f>
        <v>4252.3999999999996</v>
      </c>
      <c r="S236">
        <f>IF(C236="", "",Table1[[#This Row],[Delivery Date]]-Table1[[#This Row],[Order Date]])</f>
        <v>5</v>
      </c>
      <c r="T236" t="str">
        <f>TEXT(Table1[[#This Row],[Order Date]],"DDDD")</f>
        <v>Wednesday</v>
      </c>
    </row>
    <row r="237" spans="1:20" x14ac:dyDescent="0.3">
      <c r="A237" s="2" t="s">
        <v>471</v>
      </c>
      <c r="B237" s="10">
        <v>45996</v>
      </c>
      <c r="C237" s="10">
        <v>46005</v>
      </c>
      <c r="D237" s="2" t="s">
        <v>205</v>
      </c>
      <c r="E237" s="2" t="s">
        <v>206</v>
      </c>
      <c r="F237" s="2" t="s">
        <v>211</v>
      </c>
      <c r="G237" s="2" t="s">
        <v>217</v>
      </c>
      <c r="H237" s="2" t="s">
        <v>218</v>
      </c>
      <c r="I237" s="2">
        <v>3</v>
      </c>
      <c r="J237" s="11">
        <v>1499</v>
      </c>
      <c r="K237" s="12">
        <v>0.15</v>
      </c>
      <c r="L237" s="2" t="s">
        <v>203</v>
      </c>
      <c r="M237" s="2" t="s">
        <v>195</v>
      </c>
      <c r="N237">
        <f>Table1[[#This Row],[Quantity]]*Table1[[#This Row],[Unit Price (₹)]]*(1-Table1[[#This Row],[Discount %]])</f>
        <v>3822.45</v>
      </c>
      <c r="O237" t="str">
        <f>TEXT(Table1[[#This Row],[Order Date]],"mmmm")</f>
        <v>December</v>
      </c>
      <c r="P237" t="str">
        <f>IF(Table1[[#This Row],[Revenue (₹)  ← add]]&gt;=15000,"High Value",IF(Table1[[#This Row],[Revenue (₹)  ← add]]&gt;=5000,"Medium","Low"))</f>
        <v>Low</v>
      </c>
      <c r="Q237">
        <f>VLOOKUP(Table1[[#This Row],[Product]],Table2[],4,FALSE)</f>
        <v>850</v>
      </c>
      <c r="R237">
        <f>Table1[[#This Row],[Revenue (₹)  ← add]]-Table1[[#This Row],[Cost Price  ← add]]</f>
        <v>2972.45</v>
      </c>
      <c r="S237">
        <f>IF(C237="", "",Table1[[#This Row],[Delivery Date]]-Table1[[#This Row],[Order Date]])</f>
        <v>9</v>
      </c>
      <c r="T237" t="str">
        <f>TEXT(Table1[[#This Row],[Order Date]],"DDDD")</f>
        <v>Friday</v>
      </c>
    </row>
    <row r="238" spans="1:20" x14ac:dyDescent="0.3">
      <c r="A238" s="2" t="s">
        <v>472</v>
      </c>
      <c r="B238" s="10">
        <v>45999</v>
      </c>
      <c r="C238" s="10">
        <v>46006</v>
      </c>
      <c r="D238" s="2" t="s">
        <v>205</v>
      </c>
      <c r="E238" s="2" t="s">
        <v>206</v>
      </c>
      <c r="F238" s="2" t="s">
        <v>207</v>
      </c>
      <c r="G238" s="2" t="s">
        <v>192</v>
      </c>
      <c r="H238" s="2" t="s">
        <v>234</v>
      </c>
      <c r="I238" s="2">
        <v>4</v>
      </c>
      <c r="J238" s="11">
        <v>599</v>
      </c>
      <c r="K238" s="12">
        <v>0.15</v>
      </c>
      <c r="L238" s="2" t="s">
        <v>225</v>
      </c>
      <c r="M238" s="2" t="s">
        <v>195</v>
      </c>
      <c r="N238">
        <f>Table1[[#This Row],[Quantity]]*Table1[[#This Row],[Unit Price (₹)]]*(1-Table1[[#This Row],[Discount %]])</f>
        <v>2036.6</v>
      </c>
      <c r="O238" t="str">
        <f>TEXT(Table1[[#This Row],[Order Date]],"mmmm")</f>
        <v>December</v>
      </c>
      <c r="P238" t="str">
        <f>IF(Table1[[#This Row],[Revenue (₹)  ← add]]&gt;=15000,"High Value",IF(Table1[[#This Row],[Revenue (₹)  ← add]]&gt;=5000,"Medium","Low"))</f>
        <v>Low</v>
      </c>
      <c r="Q238">
        <f>VLOOKUP(Table1[[#This Row],[Product]],Table2[],4,FALSE)</f>
        <v>320</v>
      </c>
      <c r="R238">
        <f>Table1[[#This Row],[Revenue (₹)  ← add]]-Table1[[#This Row],[Cost Price  ← add]]</f>
        <v>1716.6</v>
      </c>
      <c r="S238">
        <f>IF(C238="", "",Table1[[#This Row],[Delivery Date]]-Table1[[#This Row],[Order Date]])</f>
        <v>7</v>
      </c>
      <c r="T238" t="str">
        <f>TEXT(Table1[[#This Row],[Order Date]],"DDDD")</f>
        <v>Monday</v>
      </c>
    </row>
    <row r="239" spans="1:20" x14ac:dyDescent="0.3">
      <c r="A239" s="2" t="s">
        <v>473</v>
      </c>
      <c r="B239" s="10">
        <v>46001</v>
      </c>
      <c r="C239" s="10">
        <v>46009</v>
      </c>
      <c r="D239" s="2" t="s">
        <v>189</v>
      </c>
      <c r="E239" s="2" t="s">
        <v>277</v>
      </c>
      <c r="F239" s="2" t="s">
        <v>191</v>
      </c>
      <c r="G239" s="2" t="s">
        <v>217</v>
      </c>
      <c r="H239" s="2" t="s">
        <v>236</v>
      </c>
      <c r="I239" s="2">
        <v>2</v>
      </c>
      <c r="J239" s="11">
        <v>2499</v>
      </c>
      <c r="K239" s="12">
        <v>0.05</v>
      </c>
      <c r="L239" s="2" t="s">
        <v>229</v>
      </c>
      <c r="M239" s="2" t="s">
        <v>195</v>
      </c>
      <c r="N239">
        <f>Table1[[#This Row],[Quantity]]*Table1[[#This Row],[Unit Price (₹)]]*(1-Table1[[#This Row],[Discount %]])</f>
        <v>4748.0999999999995</v>
      </c>
      <c r="O239" t="str">
        <f>TEXT(Table1[[#This Row],[Order Date]],"mmmm")</f>
        <v>December</v>
      </c>
      <c r="P239" t="str">
        <f>IF(Table1[[#This Row],[Revenue (₹)  ← add]]&gt;=15000,"High Value",IF(Table1[[#This Row],[Revenue (₹)  ← add]]&gt;=5000,"Medium","Low"))</f>
        <v>Low</v>
      </c>
      <c r="Q239">
        <f>VLOOKUP(Table1[[#This Row],[Product]],Table2[],4,FALSE)</f>
        <v>1500</v>
      </c>
      <c r="R239">
        <f>Table1[[#This Row],[Revenue (₹)  ← add]]-Table1[[#This Row],[Cost Price  ← add]]</f>
        <v>3248.0999999999995</v>
      </c>
      <c r="S239">
        <f>IF(C239="", "",Table1[[#This Row],[Delivery Date]]-Table1[[#This Row],[Order Date]])</f>
        <v>8</v>
      </c>
      <c r="T239" t="str">
        <f>TEXT(Table1[[#This Row],[Order Date]],"DDDD")</f>
        <v>Wednesday</v>
      </c>
    </row>
    <row r="240" spans="1:20" x14ac:dyDescent="0.3">
      <c r="A240" s="2" t="s">
        <v>474</v>
      </c>
      <c r="B240" s="10">
        <v>46006</v>
      </c>
      <c r="C240" s="10">
        <v>46015</v>
      </c>
      <c r="D240" s="2" t="s">
        <v>238</v>
      </c>
      <c r="E240" s="2" t="s">
        <v>254</v>
      </c>
      <c r="F240" s="2" t="s">
        <v>244</v>
      </c>
      <c r="G240" s="2" t="s">
        <v>198</v>
      </c>
      <c r="H240" s="2" t="s">
        <v>199</v>
      </c>
      <c r="I240" s="2">
        <v>1</v>
      </c>
      <c r="J240" s="11">
        <v>2999</v>
      </c>
      <c r="K240" s="12">
        <v>0.05</v>
      </c>
      <c r="L240" s="2" t="s">
        <v>203</v>
      </c>
      <c r="M240" s="2" t="s">
        <v>195</v>
      </c>
      <c r="N240">
        <f>Table1[[#This Row],[Quantity]]*Table1[[#This Row],[Unit Price (₹)]]*(1-Table1[[#This Row],[Discount %]])</f>
        <v>2849.0499999999997</v>
      </c>
      <c r="O240" t="str">
        <f>TEXT(Table1[[#This Row],[Order Date]],"mmmm")</f>
        <v>December</v>
      </c>
      <c r="P240" t="str">
        <f>IF(Table1[[#This Row],[Revenue (₹)  ← add]]&gt;=15000,"High Value",IF(Table1[[#This Row],[Revenue (₹)  ← add]]&gt;=5000,"Medium","Low"))</f>
        <v>Low</v>
      </c>
      <c r="Q240">
        <f>VLOOKUP(Table1[[#This Row],[Product]],Table2[],4,FALSE)</f>
        <v>1700</v>
      </c>
      <c r="R240">
        <f>Table1[[#This Row],[Revenue (₹)  ← add]]-Table1[[#This Row],[Cost Price  ← add]]</f>
        <v>1149.0499999999997</v>
      </c>
      <c r="S240">
        <f>IF(C240="", "",Table1[[#This Row],[Delivery Date]]-Table1[[#This Row],[Order Date]])</f>
        <v>9</v>
      </c>
      <c r="T240" t="str">
        <f>TEXT(Table1[[#This Row],[Order Date]],"DDDD")</f>
        <v>Monday</v>
      </c>
    </row>
    <row r="241" spans="1:20" x14ac:dyDescent="0.3">
      <c r="A241" s="2" t="s">
        <v>475</v>
      </c>
      <c r="B241" s="10">
        <v>46007</v>
      </c>
      <c r="C241" s="10">
        <v>46015</v>
      </c>
      <c r="D241" s="2" t="s">
        <v>205</v>
      </c>
      <c r="E241" s="2" t="s">
        <v>206</v>
      </c>
      <c r="F241" s="2" t="s">
        <v>211</v>
      </c>
      <c r="G241" s="2" t="s">
        <v>217</v>
      </c>
      <c r="H241" s="2" t="s">
        <v>236</v>
      </c>
      <c r="I241" s="2">
        <v>3</v>
      </c>
      <c r="J241" s="11">
        <v>2499</v>
      </c>
      <c r="K241" s="12">
        <v>0.05</v>
      </c>
      <c r="L241" s="2" t="s">
        <v>225</v>
      </c>
      <c r="M241" s="2" t="s">
        <v>195</v>
      </c>
      <c r="N241">
        <f>Table1[[#This Row],[Quantity]]*Table1[[#This Row],[Unit Price (₹)]]*(1-Table1[[#This Row],[Discount %]])</f>
        <v>7122.15</v>
      </c>
      <c r="O241" t="str">
        <f>TEXT(Table1[[#This Row],[Order Date]],"mmmm")</f>
        <v>December</v>
      </c>
      <c r="P241" t="str">
        <f>IF(Table1[[#This Row],[Revenue (₹)  ← add]]&gt;=15000,"High Value",IF(Table1[[#This Row],[Revenue (₹)  ← add]]&gt;=5000,"Medium","Low"))</f>
        <v>Medium</v>
      </c>
      <c r="Q241">
        <f>VLOOKUP(Table1[[#This Row],[Product]],Table2[],4,FALSE)</f>
        <v>1500</v>
      </c>
      <c r="R241">
        <f>Table1[[#This Row],[Revenue (₹)  ← add]]-Table1[[#This Row],[Cost Price  ← add]]</f>
        <v>5622.15</v>
      </c>
      <c r="S241">
        <f>IF(C241="", "",Table1[[#This Row],[Delivery Date]]-Table1[[#This Row],[Order Date]])</f>
        <v>8</v>
      </c>
      <c r="T241" t="str">
        <f>TEXT(Table1[[#This Row],[Order Date]],"DDDD")</f>
        <v>Tuesday</v>
      </c>
    </row>
    <row r="242" spans="1:20" x14ac:dyDescent="0.3">
      <c r="A242" s="2" t="s">
        <v>476</v>
      </c>
      <c r="B242" s="10">
        <v>46012</v>
      </c>
      <c r="C242" s="10">
        <v>46017</v>
      </c>
      <c r="D242" s="2" t="s">
        <v>238</v>
      </c>
      <c r="E242" s="2" t="s">
        <v>254</v>
      </c>
      <c r="F242" s="2" t="s">
        <v>244</v>
      </c>
      <c r="G242" s="2" t="s">
        <v>198</v>
      </c>
      <c r="H242" s="2" t="s">
        <v>208</v>
      </c>
      <c r="I242" s="2">
        <v>6</v>
      </c>
      <c r="J242" s="11">
        <v>599</v>
      </c>
      <c r="K242" s="12">
        <v>0.05</v>
      </c>
      <c r="L242" s="2" t="s">
        <v>194</v>
      </c>
      <c r="M242" s="2" t="s">
        <v>195</v>
      </c>
      <c r="N242">
        <f>Table1[[#This Row],[Quantity]]*Table1[[#This Row],[Unit Price (₹)]]*(1-Table1[[#This Row],[Discount %]])</f>
        <v>3414.2999999999997</v>
      </c>
      <c r="O242" t="str">
        <f>TEXT(Table1[[#This Row],[Order Date]],"mmmm")</f>
        <v>December</v>
      </c>
      <c r="P242" t="str">
        <f>IF(Table1[[#This Row],[Revenue (₹)  ← add]]&gt;=15000,"High Value",IF(Table1[[#This Row],[Revenue (₹)  ← add]]&gt;=5000,"Medium","Low"))</f>
        <v>Low</v>
      </c>
      <c r="Q242">
        <f>VLOOKUP(Table1[[#This Row],[Product]],Table2[],4,FALSE)</f>
        <v>300</v>
      </c>
      <c r="R242">
        <f>Table1[[#This Row],[Revenue (₹)  ← add]]-Table1[[#This Row],[Cost Price  ← add]]</f>
        <v>3114.2999999999997</v>
      </c>
      <c r="S242">
        <f>IF(C242="", "",Table1[[#This Row],[Delivery Date]]-Table1[[#This Row],[Order Date]])</f>
        <v>5</v>
      </c>
      <c r="T242" t="str">
        <f>TEXT(Table1[[#This Row],[Order Date]],"DDDD")</f>
        <v>Sunday</v>
      </c>
    </row>
    <row r="243" spans="1:20" x14ac:dyDescent="0.3">
      <c r="A243" s="2" t="s">
        <v>477</v>
      </c>
      <c r="B243" s="10">
        <v>46014</v>
      </c>
      <c r="C243" s="10">
        <v>46020</v>
      </c>
      <c r="D243" s="2" t="s">
        <v>222</v>
      </c>
      <c r="E243" s="2" t="s">
        <v>259</v>
      </c>
      <c r="F243" s="2" t="s">
        <v>249</v>
      </c>
      <c r="G243" s="2" t="s">
        <v>198</v>
      </c>
      <c r="H243" s="2" t="s">
        <v>199</v>
      </c>
      <c r="I243" s="2">
        <v>3</v>
      </c>
      <c r="J243" s="11">
        <v>2999</v>
      </c>
      <c r="K243" s="12">
        <v>0</v>
      </c>
      <c r="L243" s="2" t="s">
        <v>203</v>
      </c>
      <c r="M243" s="2" t="s">
        <v>195</v>
      </c>
      <c r="N243">
        <f>Table1[[#This Row],[Quantity]]*Table1[[#This Row],[Unit Price (₹)]]*(1-Table1[[#This Row],[Discount %]])</f>
        <v>8997</v>
      </c>
      <c r="O243" t="str">
        <f>TEXT(Table1[[#This Row],[Order Date]],"mmmm")</f>
        <v>December</v>
      </c>
      <c r="P243" t="str">
        <f>IF(Table1[[#This Row],[Revenue (₹)  ← add]]&gt;=15000,"High Value",IF(Table1[[#This Row],[Revenue (₹)  ← add]]&gt;=5000,"Medium","Low"))</f>
        <v>Medium</v>
      </c>
      <c r="Q243">
        <f>VLOOKUP(Table1[[#This Row],[Product]],Table2[],4,FALSE)</f>
        <v>1700</v>
      </c>
      <c r="R243">
        <f>Table1[[#This Row],[Revenue (₹)  ← add]]-Table1[[#This Row],[Cost Price  ← add]]</f>
        <v>7297</v>
      </c>
      <c r="S243">
        <f>IF(C243="", "",Table1[[#This Row],[Delivery Date]]-Table1[[#This Row],[Order Date]])</f>
        <v>6</v>
      </c>
      <c r="T243" t="str">
        <f>TEXT(Table1[[#This Row],[Order Date]],"DDDD")</f>
        <v>Tuesday</v>
      </c>
    </row>
    <row r="244" spans="1:20" x14ac:dyDescent="0.3">
      <c r="A244" s="2" t="s">
        <v>478</v>
      </c>
      <c r="B244" s="10">
        <v>46015</v>
      </c>
      <c r="C244" s="10">
        <v>46021</v>
      </c>
      <c r="D244" s="2" t="s">
        <v>205</v>
      </c>
      <c r="E244" s="2" t="s">
        <v>210</v>
      </c>
      <c r="F244" s="2" t="s">
        <v>207</v>
      </c>
      <c r="G244" s="2" t="s">
        <v>201</v>
      </c>
      <c r="H244" s="2" t="s">
        <v>202</v>
      </c>
      <c r="I244" s="2">
        <v>1</v>
      </c>
      <c r="J244" s="11">
        <v>8499</v>
      </c>
      <c r="K244" s="12">
        <v>0.1</v>
      </c>
      <c r="L244" s="2" t="s">
        <v>203</v>
      </c>
      <c r="M244" s="2" t="s">
        <v>195</v>
      </c>
      <c r="N244">
        <f>Table1[[#This Row],[Quantity]]*Table1[[#This Row],[Unit Price (₹)]]*(1-Table1[[#This Row],[Discount %]])</f>
        <v>7649.1</v>
      </c>
      <c r="O244" t="str">
        <f>TEXT(Table1[[#This Row],[Order Date]],"mmmm")</f>
        <v>December</v>
      </c>
      <c r="P244" t="str">
        <f>IF(Table1[[#This Row],[Revenue (₹)  ← add]]&gt;=15000,"High Value",IF(Table1[[#This Row],[Revenue (₹)  ← add]]&gt;=5000,"Medium","Low"))</f>
        <v>Medium</v>
      </c>
      <c r="Q244">
        <f>VLOOKUP(Table1[[#This Row],[Product]],Table2[],4,FALSE)</f>
        <v>5200</v>
      </c>
      <c r="R244">
        <f>Table1[[#This Row],[Revenue (₹)  ← add]]-Table1[[#This Row],[Cost Price  ← add]]</f>
        <v>2449.1000000000004</v>
      </c>
      <c r="S244">
        <f>IF(C244="", "",Table1[[#This Row],[Delivery Date]]-Table1[[#This Row],[Order Date]])</f>
        <v>6</v>
      </c>
      <c r="T244" t="str">
        <f>TEXT(Table1[[#This Row],[Order Date]],"DDDD")</f>
        <v>Wednesday</v>
      </c>
    </row>
    <row r="245" spans="1:20" x14ac:dyDescent="0.3">
      <c r="A245" s="2" t="s">
        <v>479</v>
      </c>
      <c r="B245" s="10">
        <v>46015</v>
      </c>
      <c r="C245" s="10">
        <v>46023</v>
      </c>
      <c r="D245" s="2" t="s">
        <v>205</v>
      </c>
      <c r="E245" s="2" t="s">
        <v>206</v>
      </c>
      <c r="F245" s="2" t="s">
        <v>211</v>
      </c>
      <c r="G245" s="2" t="s">
        <v>217</v>
      </c>
      <c r="H245" s="2" t="s">
        <v>218</v>
      </c>
      <c r="I245" s="2">
        <v>4</v>
      </c>
      <c r="J245" s="11">
        <v>1499</v>
      </c>
      <c r="K245" s="12">
        <v>0</v>
      </c>
      <c r="L245" s="2" t="s">
        <v>203</v>
      </c>
      <c r="M245" s="2" t="s">
        <v>195</v>
      </c>
      <c r="N245">
        <f>Table1[[#This Row],[Quantity]]*Table1[[#This Row],[Unit Price (₹)]]*(1-Table1[[#This Row],[Discount %]])</f>
        <v>5996</v>
      </c>
      <c r="O245" t="str">
        <f>TEXT(Table1[[#This Row],[Order Date]],"mmmm")</f>
        <v>December</v>
      </c>
      <c r="P245" t="str">
        <f>IF(Table1[[#This Row],[Revenue (₹)  ← add]]&gt;=15000,"High Value",IF(Table1[[#This Row],[Revenue (₹)  ← add]]&gt;=5000,"Medium","Low"))</f>
        <v>Medium</v>
      </c>
      <c r="Q245">
        <f>VLOOKUP(Table1[[#This Row],[Product]],Table2[],4,FALSE)</f>
        <v>850</v>
      </c>
      <c r="R245">
        <f>Table1[[#This Row],[Revenue (₹)  ← add]]-Table1[[#This Row],[Cost Price  ← add]]</f>
        <v>5146</v>
      </c>
      <c r="S245">
        <f>IF(C245="", "",Table1[[#This Row],[Delivery Date]]-Table1[[#This Row],[Order Date]])</f>
        <v>8</v>
      </c>
      <c r="T245" t="str">
        <f>TEXT(Table1[[#This Row],[Order Date]],"DDDD")</f>
        <v>Wednesday</v>
      </c>
    </row>
    <row r="246" spans="1:20" x14ac:dyDescent="0.3">
      <c r="A246" s="2" t="s">
        <v>480</v>
      </c>
      <c r="B246" s="10">
        <v>46015</v>
      </c>
      <c r="C246" s="10">
        <v>46022</v>
      </c>
      <c r="D246" s="2" t="s">
        <v>238</v>
      </c>
      <c r="E246" s="2" t="s">
        <v>243</v>
      </c>
      <c r="F246" s="2" t="s">
        <v>240</v>
      </c>
      <c r="G246" s="2" t="s">
        <v>217</v>
      </c>
      <c r="H246" s="2" t="s">
        <v>228</v>
      </c>
      <c r="I246" s="2">
        <v>3</v>
      </c>
      <c r="J246" s="11">
        <v>799</v>
      </c>
      <c r="K246" s="12">
        <v>0.15</v>
      </c>
      <c r="L246" s="2" t="s">
        <v>203</v>
      </c>
      <c r="M246" s="2" t="s">
        <v>195</v>
      </c>
      <c r="N246">
        <f>Table1[[#This Row],[Quantity]]*Table1[[#This Row],[Unit Price (₹)]]*(1-Table1[[#This Row],[Discount %]])</f>
        <v>2037.45</v>
      </c>
      <c r="O246" t="str">
        <f>TEXT(Table1[[#This Row],[Order Date]],"mmmm")</f>
        <v>December</v>
      </c>
      <c r="P246" t="str">
        <f>IF(Table1[[#This Row],[Revenue (₹)  ← add]]&gt;=15000,"High Value",IF(Table1[[#This Row],[Revenue (₹)  ← add]]&gt;=5000,"Medium","Low"))</f>
        <v>Low</v>
      </c>
      <c r="Q246">
        <f>VLOOKUP(Table1[[#This Row],[Product]],Table2[],4,FALSE)</f>
        <v>450</v>
      </c>
      <c r="R246">
        <f>Table1[[#This Row],[Revenue (₹)  ← add]]-Table1[[#This Row],[Cost Price  ← add]]</f>
        <v>1587.45</v>
      </c>
      <c r="S246">
        <f>IF(C246="", "",Table1[[#This Row],[Delivery Date]]-Table1[[#This Row],[Order Date]])</f>
        <v>7</v>
      </c>
      <c r="T246" t="str">
        <f>TEXT(Table1[[#This Row],[Order Date]],"DDDD")</f>
        <v>Wednesday</v>
      </c>
    </row>
    <row r="247" spans="1:20" x14ac:dyDescent="0.3">
      <c r="A247" s="2" t="s">
        <v>481</v>
      </c>
      <c r="B247" s="10">
        <v>46016</v>
      </c>
      <c r="C247" s="10">
        <v>46020</v>
      </c>
      <c r="D247" s="2" t="s">
        <v>238</v>
      </c>
      <c r="E247" s="2" t="s">
        <v>243</v>
      </c>
      <c r="F247" s="2" t="s">
        <v>244</v>
      </c>
      <c r="G247" s="2" t="s">
        <v>192</v>
      </c>
      <c r="H247" s="2" t="s">
        <v>193</v>
      </c>
      <c r="I247" s="2">
        <v>21</v>
      </c>
      <c r="J247" s="11">
        <v>249</v>
      </c>
      <c r="K247" s="12">
        <v>0.15</v>
      </c>
      <c r="L247" s="2" t="s">
        <v>214</v>
      </c>
      <c r="M247" s="2" t="s">
        <v>195</v>
      </c>
      <c r="N247">
        <f>Table1[[#This Row],[Quantity]]*Table1[[#This Row],[Unit Price (₹)]]*(1-Table1[[#This Row],[Discount %]])</f>
        <v>4444.6499999999996</v>
      </c>
      <c r="O247" t="str">
        <f>TEXT(Table1[[#This Row],[Order Date]],"mmmm")</f>
        <v>December</v>
      </c>
      <c r="P247" t="str">
        <f>IF(Table1[[#This Row],[Revenue (₹)  ← add]]&gt;=15000,"High Value",IF(Table1[[#This Row],[Revenue (₹)  ← add]]&gt;=5000,"Medium","Low"))</f>
        <v>Low</v>
      </c>
      <c r="Q247">
        <f>VLOOKUP(Table1[[#This Row],[Product]],Table2[],4,FALSE)</f>
        <v>120</v>
      </c>
      <c r="R247">
        <f>Table1[[#This Row],[Revenue (₹)  ← add]]-Table1[[#This Row],[Cost Price  ← add]]</f>
        <v>4324.6499999999996</v>
      </c>
      <c r="S247">
        <f>IF(C247="", "",Table1[[#This Row],[Delivery Date]]-Table1[[#This Row],[Order Date]])</f>
        <v>4</v>
      </c>
      <c r="T247" t="str">
        <f>TEXT(Table1[[#This Row],[Order Date]],"DDDD")</f>
        <v>Thursday</v>
      </c>
    </row>
    <row r="248" spans="1:20" x14ac:dyDescent="0.3">
      <c r="A248" s="2" t="s">
        <v>482</v>
      </c>
      <c r="B248" s="10">
        <v>46020</v>
      </c>
      <c r="C248" s="10">
        <v>46026</v>
      </c>
      <c r="D248" s="2" t="s">
        <v>189</v>
      </c>
      <c r="E248" s="2" t="s">
        <v>197</v>
      </c>
      <c r="F248" s="2" t="s">
        <v>213</v>
      </c>
      <c r="G248" s="2" t="s">
        <v>201</v>
      </c>
      <c r="H248" s="2" t="s">
        <v>314</v>
      </c>
      <c r="I248" s="2">
        <v>1</v>
      </c>
      <c r="J248" s="11">
        <v>6999</v>
      </c>
      <c r="K248" s="12">
        <v>0</v>
      </c>
      <c r="L248" s="2" t="s">
        <v>214</v>
      </c>
      <c r="M248" s="2" t="s">
        <v>195</v>
      </c>
      <c r="N248">
        <f>Table1[[#This Row],[Quantity]]*Table1[[#This Row],[Unit Price (₹)]]*(1-Table1[[#This Row],[Discount %]])</f>
        <v>6999</v>
      </c>
      <c r="O248" t="str">
        <f>TEXT(Table1[[#This Row],[Order Date]],"mmmm")</f>
        <v>December</v>
      </c>
      <c r="P248" t="str">
        <f>IF(Table1[[#This Row],[Revenue (₹)  ← add]]&gt;=15000,"High Value",IF(Table1[[#This Row],[Revenue (₹)  ← add]]&gt;=5000,"Medium","Low"))</f>
        <v>Medium</v>
      </c>
      <c r="Q248">
        <f>VLOOKUP(Table1[[#This Row],[Product]],Table2[],4,FALSE)</f>
        <v>4200</v>
      </c>
      <c r="R248">
        <f>Table1[[#This Row],[Revenue (₹)  ← add]]-Table1[[#This Row],[Cost Price  ← add]]</f>
        <v>2799</v>
      </c>
      <c r="S248">
        <f>IF(C248="", "",Table1[[#This Row],[Delivery Date]]-Table1[[#This Row],[Order Date]])</f>
        <v>6</v>
      </c>
      <c r="T248" t="str">
        <f>TEXT(Table1[[#This Row],[Order Date]],"DDDD")</f>
        <v>Monday</v>
      </c>
    </row>
    <row r="249" spans="1:20" x14ac:dyDescent="0.3">
      <c r="A249" s="2" t="s">
        <v>483</v>
      </c>
      <c r="B249" s="10">
        <v>46021</v>
      </c>
      <c r="C249" s="10">
        <v>46030</v>
      </c>
      <c r="D249" s="2" t="s">
        <v>189</v>
      </c>
      <c r="E249" s="2" t="s">
        <v>190</v>
      </c>
      <c r="F249" s="2" t="s">
        <v>213</v>
      </c>
      <c r="G249" s="2" t="s">
        <v>217</v>
      </c>
      <c r="H249" s="2" t="s">
        <v>218</v>
      </c>
      <c r="I249" s="2">
        <v>1</v>
      </c>
      <c r="J249" s="11">
        <v>1499</v>
      </c>
      <c r="K249" s="12">
        <v>0.05</v>
      </c>
      <c r="L249" s="2" t="s">
        <v>194</v>
      </c>
      <c r="M249" s="2" t="s">
        <v>195</v>
      </c>
      <c r="N249">
        <f>Table1[[#This Row],[Quantity]]*Table1[[#This Row],[Unit Price (₹)]]*(1-Table1[[#This Row],[Discount %]])</f>
        <v>1424.05</v>
      </c>
      <c r="O249" t="str">
        <f>TEXT(Table1[[#This Row],[Order Date]],"mmmm")</f>
        <v>December</v>
      </c>
      <c r="P249" t="str">
        <f>IF(Table1[[#This Row],[Revenue (₹)  ← add]]&gt;=15000,"High Value",IF(Table1[[#This Row],[Revenue (₹)  ← add]]&gt;=5000,"Medium","Low"))</f>
        <v>Low</v>
      </c>
      <c r="Q249">
        <f>VLOOKUP(Table1[[#This Row],[Product]],Table2[],4,FALSE)</f>
        <v>850</v>
      </c>
      <c r="R249">
        <f>Table1[[#This Row],[Revenue (₹)  ← add]]-Table1[[#This Row],[Cost Price  ← add]]</f>
        <v>574.04999999999995</v>
      </c>
      <c r="S249">
        <f>IF(C249="", "",Table1[[#This Row],[Delivery Date]]-Table1[[#This Row],[Order Date]])</f>
        <v>9</v>
      </c>
      <c r="T249" t="str">
        <f>TEXT(Table1[[#This Row],[Order Date]],"DDDD")</f>
        <v>Tuesday</v>
      </c>
    </row>
    <row r="250" spans="1:20" x14ac:dyDescent="0.3">
      <c r="A250" s="2" t="s">
        <v>484</v>
      </c>
      <c r="B250" s="10">
        <v>46021</v>
      </c>
      <c r="C250" s="10">
        <v>46025</v>
      </c>
      <c r="D250" s="2" t="s">
        <v>189</v>
      </c>
      <c r="E250" s="2" t="s">
        <v>190</v>
      </c>
      <c r="F250" s="2" t="s">
        <v>213</v>
      </c>
      <c r="G250" s="2" t="s">
        <v>198</v>
      </c>
      <c r="H250" s="2" t="s">
        <v>199</v>
      </c>
      <c r="I250" s="2">
        <v>1</v>
      </c>
      <c r="J250" s="11">
        <v>2999</v>
      </c>
      <c r="K250" s="12">
        <v>0.1</v>
      </c>
      <c r="L250" s="2" t="s">
        <v>194</v>
      </c>
      <c r="M250" s="2" t="s">
        <v>219</v>
      </c>
      <c r="N250">
        <f>Table1[[#This Row],[Quantity]]*Table1[[#This Row],[Unit Price (₹)]]*(1-Table1[[#This Row],[Discount %]])</f>
        <v>2699.1</v>
      </c>
      <c r="O250" t="str">
        <f>TEXT(Table1[[#This Row],[Order Date]],"mmmm")</f>
        <v>December</v>
      </c>
      <c r="P250" t="str">
        <f>IF(Table1[[#This Row],[Revenue (₹)  ← add]]&gt;=15000,"High Value",IF(Table1[[#This Row],[Revenue (₹)  ← add]]&gt;=5000,"Medium","Low"))</f>
        <v>Low</v>
      </c>
      <c r="Q250">
        <f>VLOOKUP(Table1[[#This Row],[Product]],Table2[],4,FALSE)</f>
        <v>1700</v>
      </c>
      <c r="R250">
        <f>Table1[[#This Row],[Revenue (₹)  ← add]]-Table1[[#This Row],[Cost Price  ← add]]</f>
        <v>999.09999999999991</v>
      </c>
      <c r="S250">
        <f>IF(C250="", "",Table1[[#This Row],[Delivery Date]]-Table1[[#This Row],[Order Date]])</f>
        <v>4</v>
      </c>
      <c r="T250" t="str">
        <f>TEXT(Table1[[#This Row],[Order Date]],"DDDD")</f>
        <v>Tuesday</v>
      </c>
    </row>
    <row r="251" spans="1:20" x14ac:dyDescent="0.3">
      <c r="A251" s="2" t="s">
        <v>485</v>
      </c>
      <c r="B251" s="10">
        <v>46021</v>
      </c>
      <c r="C251" s="10">
        <v>46024</v>
      </c>
      <c r="D251" s="2" t="s">
        <v>238</v>
      </c>
      <c r="E251" s="2" t="s">
        <v>243</v>
      </c>
      <c r="F251" s="2" t="s">
        <v>240</v>
      </c>
      <c r="G251" s="2" t="s">
        <v>198</v>
      </c>
      <c r="H251" s="2" t="s">
        <v>199</v>
      </c>
      <c r="I251" s="2">
        <v>3</v>
      </c>
      <c r="J251" s="11">
        <v>2999</v>
      </c>
      <c r="K251" s="12">
        <v>0</v>
      </c>
      <c r="L251" s="2" t="s">
        <v>203</v>
      </c>
      <c r="M251" s="2" t="s">
        <v>195</v>
      </c>
      <c r="N251">
        <f>Table1[[#This Row],[Quantity]]*Table1[[#This Row],[Unit Price (₹)]]*(1-Table1[[#This Row],[Discount %]])</f>
        <v>8997</v>
      </c>
      <c r="O251" t="str">
        <f>TEXT(Table1[[#This Row],[Order Date]],"mmmm")</f>
        <v>December</v>
      </c>
      <c r="P251" t="str">
        <f>IF(Table1[[#This Row],[Revenue (₹)  ← add]]&gt;=15000,"High Value",IF(Table1[[#This Row],[Revenue (₹)  ← add]]&gt;=5000,"Medium","Low"))</f>
        <v>Medium</v>
      </c>
      <c r="Q251">
        <f>VLOOKUP(Table1[[#This Row],[Product]],Table2[],4,FALSE)</f>
        <v>1700</v>
      </c>
      <c r="R251">
        <f>Table1[[#This Row],[Revenue (₹)  ← add]]-Table1[[#This Row],[Cost Price  ← add]]</f>
        <v>7297</v>
      </c>
      <c r="S251">
        <f>IF(C251="", "",Table1[[#This Row],[Delivery Date]]-Table1[[#This Row],[Order Date]])</f>
        <v>3</v>
      </c>
      <c r="T251" t="str">
        <f>TEXT(Table1[[#This Row],[Order Date]],"DDDD")</f>
        <v>Tuesday</v>
      </c>
    </row>
  </sheetData>
  <conditionalFormatting sqref="N1:N1048576">
    <cfRule type="dataBar" priority="3">
      <dataBar>
        <cfvo type="min"/>
        <cfvo type="max"/>
        <color rgb="FF63C384"/>
      </dataBar>
      <extLst>
        <ext xmlns:x14="http://schemas.microsoft.com/office/spreadsheetml/2009/9/main" uri="{B025F937-C7B1-47D3-B67F-A62EFF666E3E}">
          <x14:id>{C965FA59-740F-4D5B-AC5C-AD1299DA3006}</x14:id>
        </ext>
      </extLst>
    </cfRule>
  </conditionalFormatting>
  <conditionalFormatting sqref="A2:T251">
    <cfRule type="expression" dxfId="0" priority="1">
      <formula>$M2="Returned"</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965FA59-740F-4D5B-AC5C-AD1299DA3006}">
            <x14:dataBar minLength="0" maxLength="100" border="1" negativeBarBorderColorSameAsPositive="0">
              <x14:cfvo type="autoMin"/>
              <x14:cfvo type="autoMax"/>
              <x14:borderColor rgb="FF63C384"/>
              <x14:negativeFillColor rgb="FFFF0000"/>
              <x14:negativeBorderColor rgb="FFFF0000"/>
              <x14:axisColor rgb="FF000000"/>
            </x14:dataBar>
          </x14:cfRule>
          <xm:sqref>N1:N1048576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workbookViewId="0">
      <pane ySplit="1" topLeftCell="A2" activePane="bottomLeft" state="frozen"/>
      <selection pane="bottomLeft" activeCell="C4" sqref="C4"/>
    </sheetView>
  </sheetViews>
  <sheetFormatPr defaultColWidth="8.6640625" defaultRowHeight="14.4" x14ac:dyDescent="0.3"/>
  <cols>
    <col min="1" max="1" width="20" customWidth="1"/>
    <col min="2" max="3" width="14" customWidth="1"/>
    <col min="4" max="4" width="14.88671875" customWidth="1"/>
  </cols>
  <sheetData>
    <row r="1" spans="1:4" x14ac:dyDescent="0.3">
      <c r="A1" s="32" t="s">
        <v>176</v>
      </c>
      <c r="B1" s="32" t="s">
        <v>175</v>
      </c>
      <c r="C1" s="32" t="s">
        <v>486</v>
      </c>
      <c r="D1" s="32" t="s">
        <v>487</v>
      </c>
    </row>
    <row r="2" spans="1:4" x14ac:dyDescent="0.3">
      <c r="A2" s="2" t="s">
        <v>228</v>
      </c>
      <c r="B2" s="2" t="s">
        <v>217</v>
      </c>
      <c r="C2" s="13">
        <v>799</v>
      </c>
      <c r="D2" s="13">
        <v>450</v>
      </c>
    </row>
    <row r="3" spans="1:4" x14ac:dyDescent="0.3">
      <c r="A3" s="2" t="s">
        <v>236</v>
      </c>
      <c r="B3" s="2" t="s">
        <v>217</v>
      </c>
      <c r="C3" s="13">
        <v>2499</v>
      </c>
      <c r="D3" s="13">
        <v>1500</v>
      </c>
    </row>
    <row r="4" spans="1:4" x14ac:dyDescent="0.3">
      <c r="A4" s="2" t="s">
        <v>255</v>
      </c>
      <c r="B4" s="2" t="s">
        <v>217</v>
      </c>
      <c r="C4" s="13">
        <v>1999</v>
      </c>
      <c r="D4" s="13">
        <v>1100</v>
      </c>
    </row>
    <row r="5" spans="1:4" x14ac:dyDescent="0.3">
      <c r="A5" s="2" t="s">
        <v>218</v>
      </c>
      <c r="B5" s="2" t="s">
        <v>217</v>
      </c>
      <c r="C5" s="13">
        <v>1499</v>
      </c>
      <c r="D5" s="13">
        <v>850</v>
      </c>
    </row>
    <row r="6" spans="1:4" x14ac:dyDescent="0.3">
      <c r="A6" s="2" t="s">
        <v>314</v>
      </c>
      <c r="B6" s="2" t="s">
        <v>201</v>
      </c>
      <c r="C6" s="13">
        <v>6999</v>
      </c>
      <c r="D6" s="13">
        <v>4200</v>
      </c>
    </row>
    <row r="7" spans="1:4" x14ac:dyDescent="0.3">
      <c r="A7" s="2" t="s">
        <v>202</v>
      </c>
      <c r="B7" s="2" t="s">
        <v>201</v>
      </c>
      <c r="C7" s="13">
        <v>8499</v>
      </c>
      <c r="D7" s="13">
        <v>5200</v>
      </c>
    </row>
    <row r="8" spans="1:4" x14ac:dyDescent="0.3">
      <c r="A8" s="2" t="s">
        <v>250</v>
      </c>
      <c r="B8" s="2" t="s">
        <v>201</v>
      </c>
      <c r="C8" s="13">
        <v>5499</v>
      </c>
      <c r="D8" s="13">
        <v>3300</v>
      </c>
    </row>
    <row r="9" spans="1:4" x14ac:dyDescent="0.3">
      <c r="A9" s="2" t="s">
        <v>247</v>
      </c>
      <c r="B9" s="2" t="s">
        <v>192</v>
      </c>
      <c r="C9" s="13">
        <v>349</v>
      </c>
      <c r="D9" s="13">
        <v>180</v>
      </c>
    </row>
    <row r="10" spans="1:4" x14ac:dyDescent="0.3">
      <c r="A10" s="2" t="s">
        <v>193</v>
      </c>
      <c r="B10" s="2" t="s">
        <v>192</v>
      </c>
      <c r="C10" s="13">
        <v>249</v>
      </c>
      <c r="D10" s="13">
        <v>120</v>
      </c>
    </row>
    <row r="11" spans="1:4" x14ac:dyDescent="0.3">
      <c r="A11" s="2" t="s">
        <v>234</v>
      </c>
      <c r="B11" s="2" t="s">
        <v>192</v>
      </c>
      <c r="C11" s="13">
        <v>599</v>
      </c>
      <c r="D11" s="13">
        <v>320</v>
      </c>
    </row>
    <row r="12" spans="1:4" x14ac:dyDescent="0.3">
      <c r="A12" s="2" t="s">
        <v>208</v>
      </c>
      <c r="B12" s="2" t="s">
        <v>198</v>
      </c>
      <c r="C12" s="13">
        <v>599</v>
      </c>
      <c r="D12" s="13">
        <v>300</v>
      </c>
    </row>
    <row r="13" spans="1:4" x14ac:dyDescent="0.3">
      <c r="A13" s="2" t="s">
        <v>199</v>
      </c>
      <c r="B13" s="2" t="s">
        <v>198</v>
      </c>
      <c r="C13" s="13">
        <v>2999</v>
      </c>
      <c r="D13" s="13">
        <v>1700</v>
      </c>
    </row>
    <row r="15" spans="1:4" x14ac:dyDescent="0.3">
      <c r="A15" s="14" t="s">
        <v>488</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7"/>
  <sheetViews>
    <sheetView zoomScale="73" zoomScaleNormal="100" workbookViewId="0">
      <selection activeCell="A12" sqref="A12"/>
    </sheetView>
  </sheetViews>
  <sheetFormatPr defaultColWidth="8.6640625" defaultRowHeight="14.4" x14ac:dyDescent="0.3"/>
  <cols>
    <col min="1" max="1" width="43.21875" bestFit="1" customWidth="1"/>
    <col min="2" max="2" width="10" customWidth="1"/>
    <col min="3" max="3" width="25.6640625" bestFit="1" customWidth="1"/>
    <col min="4" max="4" width="16.109375" bestFit="1" customWidth="1"/>
    <col min="5" max="5" width="10" bestFit="1" customWidth="1"/>
    <col min="6" max="6" width="8.88671875" bestFit="1" customWidth="1"/>
    <col min="7" max="7" width="9.6640625" bestFit="1" customWidth="1"/>
    <col min="8" max="8" width="10.77734375" bestFit="1" customWidth="1"/>
  </cols>
  <sheetData>
    <row r="1" spans="1:7" x14ac:dyDescent="0.3">
      <c r="A1" s="32" t="s">
        <v>174</v>
      </c>
      <c r="B1" s="32" t="s">
        <v>172</v>
      </c>
      <c r="C1" s="32" t="s">
        <v>489</v>
      </c>
    </row>
    <row r="2" spans="1:7" x14ac:dyDescent="0.3">
      <c r="A2" s="2" t="s">
        <v>249</v>
      </c>
      <c r="B2" s="2" t="s">
        <v>222</v>
      </c>
      <c r="C2" s="13">
        <v>170000</v>
      </c>
    </row>
    <row r="3" spans="1:7" x14ac:dyDescent="0.3">
      <c r="A3" s="2" t="s">
        <v>224</v>
      </c>
      <c r="B3" s="2" t="s">
        <v>222</v>
      </c>
      <c r="C3" s="13">
        <v>210000</v>
      </c>
    </row>
    <row r="4" spans="1:7" x14ac:dyDescent="0.3">
      <c r="A4" s="2" t="s">
        <v>207</v>
      </c>
      <c r="B4" s="2" t="s">
        <v>205</v>
      </c>
      <c r="C4" s="13">
        <v>180000</v>
      </c>
    </row>
    <row r="5" spans="1:7" x14ac:dyDescent="0.3">
      <c r="A5" s="2" t="s">
        <v>211</v>
      </c>
      <c r="B5" s="2" t="s">
        <v>205</v>
      </c>
      <c r="C5" s="13">
        <v>270000</v>
      </c>
    </row>
    <row r="6" spans="1:7" x14ac:dyDescent="0.3">
      <c r="A6" s="2" t="s">
        <v>191</v>
      </c>
      <c r="B6" s="2" t="s">
        <v>189</v>
      </c>
      <c r="C6" s="13">
        <v>250000</v>
      </c>
    </row>
    <row r="7" spans="1:7" x14ac:dyDescent="0.3">
      <c r="A7" s="2" t="s">
        <v>213</v>
      </c>
      <c r="B7" s="2" t="s">
        <v>189</v>
      </c>
      <c r="C7" s="13">
        <v>190000</v>
      </c>
    </row>
    <row r="8" spans="1:7" x14ac:dyDescent="0.3">
      <c r="A8" s="2" t="s">
        <v>240</v>
      </c>
      <c r="B8" s="2" t="s">
        <v>238</v>
      </c>
      <c r="C8" s="13">
        <v>220000</v>
      </c>
    </row>
    <row r="9" spans="1:7" x14ac:dyDescent="0.3">
      <c r="A9" s="2" t="s">
        <v>244</v>
      </c>
      <c r="B9" s="2" t="s">
        <v>238</v>
      </c>
      <c r="C9" s="13">
        <v>270000</v>
      </c>
    </row>
    <row r="12" spans="1:7" x14ac:dyDescent="0.3">
      <c r="A12" s="14" t="s">
        <v>490</v>
      </c>
    </row>
    <row r="14" spans="1:7" ht="26.4" x14ac:dyDescent="0.3">
      <c r="A14" s="32" t="s">
        <v>174</v>
      </c>
      <c r="B14" s="32" t="s">
        <v>172</v>
      </c>
      <c r="C14" s="32" t="s">
        <v>496</v>
      </c>
      <c r="D14" s="32" t="s">
        <v>657</v>
      </c>
      <c r="E14" s="32" t="s">
        <v>658</v>
      </c>
      <c r="F14" s="32" t="s">
        <v>498</v>
      </c>
      <c r="G14" s="32" t="s">
        <v>499</v>
      </c>
    </row>
    <row r="15" spans="1:7" x14ac:dyDescent="0.3">
      <c r="A15" s="2" t="s">
        <v>249</v>
      </c>
      <c r="B15" s="2" t="str">
        <f>INDEX(Table4[Region],MATCH(A15,$A$2:$A$9,0))</f>
        <v>North</v>
      </c>
      <c r="C15" s="13">
        <f>INDEX(Table4[Annual Target (₹)],MATCH(Table3[[#This Row],[Salesperson]],Table4[Salesperson],0))</f>
        <v>170000</v>
      </c>
      <c r="D15" cm="1">
        <f t="array" ref="D15">SUMPRODUCT((Table1[Salesperson]=Table3[[#This Row],[Salesperson]])*Table1[Revenue (₹)  ← add])</f>
        <v>172982.10000000003</v>
      </c>
      <c r="E15" s="37">
        <f>D15/C15</f>
        <v>1.0175417647058826</v>
      </c>
      <c r="F15" t="str">
        <f>IF(Table3[[#This Row],[Acheivement %]]&gt;=100%,"Target Met",IF(Table3[[#This Row],[Acheivement %]]&gt;=90%,"Close","Below Target"))</f>
        <v>Target Met</v>
      </c>
      <c r="G15">
        <f>RANK(Table3[[#This Row],[Achieved]],Table3[Achieved])</f>
        <v>8</v>
      </c>
    </row>
    <row r="16" spans="1:7" x14ac:dyDescent="0.3">
      <c r="A16" s="2" t="s">
        <v>224</v>
      </c>
      <c r="B16" s="2" t="str">
        <f>INDEX(Table4[Region],MATCH(A16,$A$2:$A$9,0))</f>
        <v>North</v>
      </c>
      <c r="C16" s="13">
        <f>INDEX(Table4[Annual Target (₹)],MATCH(Table3[[#This Row],[Salesperson]],Table4[Salesperson],0))</f>
        <v>210000</v>
      </c>
      <c r="D16" cm="1">
        <f t="array" ref="D16">SUMPRODUCT((Table1[Salesperson]=Table3[[#This Row],[Salesperson]])*Table1[Revenue (₹)  ← add])</f>
        <v>195733.15000000002</v>
      </c>
      <c r="E16" s="37">
        <f>D16/C16</f>
        <v>0.93206261904761911</v>
      </c>
      <c r="F16" t="str">
        <f>IF(Table3[[#This Row],[Acheivement %]]&gt;=100%,"Target Met",IF(Table3[[#This Row],[Acheivement %]]&gt;=90%,"Close","Below Target"))</f>
        <v>Close</v>
      </c>
      <c r="G16">
        <f>RANK(Table3[[#This Row],[Achieved]],Table3[Achieved])</f>
        <v>6</v>
      </c>
    </row>
    <row r="17" spans="1:7" x14ac:dyDescent="0.3">
      <c r="A17" s="2" t="s">
        <v>207</v>
      </c>
      <c r="B17" s="2" t="str">
        <f>INDEX(Table4[Region],MATCH(A17,$A$2:$A$9,0))</f>
        <v>South</v>
      </c>
      <c r="C17" s="13">
        <f>INDEX(Table4[Annual Target (₹)],MATCH(Table3[[#This Row],[Salesperson]],Table4[Salesperson],0))</f>
        <v>180000</v>
      </c>
      <c r="D17" cm="1">
        <f t="array" ref="D17">SUMPRODUCT((Table1[Salesperson]=Table3[[#This Row],[Salesperson]])*Table1[Revenue (₹)  ← add])</f>
        <v>179665.99999999997</v>
      </c>
      <c r="E17" s="37">
        <f>D17/C17</f>
        <v>0.99814444444444428</v>
      </c>
      <c r="F17" t="str">
        <f>IF(Table3[[#This Row],[Acheivement %]]&gt;=100%,"Target Met",IF(Table3[[#This Row],[Acheivement %]]&gt;=90%,"Close","Below Target"))</f>
        <v>Close</v>
      </c>
      <c r="G17">
        <f>RANK(Table3[[#This Row],[Achieved]],Table3[Achieved])</f>
        <v>7</v>
      </c>
    </row>
    <row r="18" spans="1:7" x14ac:dyDescent="0.3">
      <c r="A18" s="2" t="s">
        <v>211</v>
      </c>
      <c r="B18" s="2" t="str">
        <f>INDEX(Table4[Region],MATCH(A18,$A$2:$A$9,0))</f>
        <v>South</v>
      </c>
      <c r="C18" s="13">
        <f>INDEX(Table4[Annual Target (₹)],MATCH(Table3[[#This Row],[Salesperson]],Table4[Salesperson],0))</f>
        <v>270000</v>
      </c>
      <c r="D18" cm="1">
        <f t="array" ref="D18">SUMPRODUCT((Table1[Salesperson]=Table3[[#This Row],[Salesperson]])*Table1[Revenue (₹)  ← add])</f>
        <v>260777.74999999997</v>
      </c>
      <c r="E18" s="37">
        <f>D18/C18</f>
        <v>0.96584351851851846</v>
      </c>
      <c r="F18" t="str">
        <f>IF(Table3[[#This Row],[Acheivement %]]&gt;=100%,"Target Met",IF(Table3[[#This Row],[Acheivement %]]&gt;=90%,"Close","Below Target"))</f>
        <v>Close</v>
      </c>
      <c r="G18">
        <f>RANK(Table3[[#This Row],[Achieved]],Table3[Achieved])</f>
        <v>2</v>
      </c>
    </row>
    <row r="19" spans="1:7" x14ac:dyDescent="0.3">
      <c r="A19" s="2" t="s">
        <v>191</v>
      </c>
      <c r="B19" s="2" t="str">
        <f>INDEX(Table4[Region],MATCH(A19,$A$2:$A$9,0))</f>
        <v>East</v>
      </c>
      <c r="C19" s="13">
        <f>INDEX(Table4[Annual Target (₹)],MATCH(Table3[[#This Row],[Salesperson]],Table4[Salesperson],0))</f>
        <v>250000</v>
      </c>
      <c r="D19" cm="1">
        <f t="array" ref="D19">SUMPRODUCT((Table1[Salesperson]=Table3[[#This Row],[Salesperson]])*Table1[Revenue (₹)  ← add])</f>
        <v>227080.59999999998</v>
      </c>
      <c r="E19" s="37">
        <f>D19/C19</f>
        <v>0.90832239999999986</v>
      </c>
      <c r="F19" t="str">
        <f>IF(Table3[[#This Row],[Acheivement %]]&gt;=100%,"Target Met",IF(Table3[[#This Row],[Acheivement %]]&gt;=90%,"Close","Below Target"))</f>
        <v>Close</v>
      </c>
      <c r="G19">
        <f>RANK(Table3[[#This Row],[Achieved]],Table3[Achieved])</f>
        <v>3</v>
      </c>
    </row>
    <row r="20" spans="1:7" x14ac:dyDescent="0.3">
      <c r="A20" s="2" t="s">
        <v>213</v>
      </c>
      <c r="B20" s="2" t="str">
        <f>INDEX(Table4[Region],MATCH(A20,$A$2:$A$9,0))</f>
        <v>East</v>
      </c>
      <c r="C20" s="13">
        <f>INDEX(Table4[Annual Target (₹)],MATCH(Table3[[#This Row],[Salesperson]],Table4[Salesperson],0))</f>
        <v>190000</v>
      </c>
      <c r="D20" cm="1">
        <f t="array" ref="D20">SUMPRODUCT((Table1[Salesperson]=Table3[[#This Row],[Salesperson]])*Table1[Revenue (₹)  ← add])</f>
        <v>205298.6</v>
      </c>
      <c r="E20" s="37">
        <f>D20/C20</f>
        <v>1.0805189473684211</v>
      </c>
      <c r="F20" t="str">
        <f>IF(Table3[[#This Row],[Acheivement %]]&gt;=100%,"Target Met",IF(Table3[[#This Row],[Acheivement %]]&gt;=90%,"Close","Below Target"))</f>
        <v>Target Met</v>
      </c>
      <c r="G20">
        <f>RANK(Table3[[#This Row],[Achieved]],Table3[Achieved])</f>
        <v>5</v>
      </c>
    </row>
    <row r="21" spans="1:7" x14ac:dyDescent="0.3">
      <c r="A21" s="2" t="s">
        <v>240</v>
      </c>
      <c r="B21" s="2" t="str">
        <f>INDEX(Table4[Region],MATCH(A21,$A$2:$A$9,0))</f>
        <v>West</v>
      </c>
      <c r="C21" s="13">
        <f>INDEX(Table4[Annual Target (₹)],MATCH(Table3[[#This Row],[Salesperson]],Table4[Salesperson],0))</f>
        <v>220000</v>
      </c>
      <c r="D21" cm="1">
        <f t="array" ref="D21">SUMPRODUCT((Table1[Salesperson]=Table3[[#This Row],[Salesperson]])*Table1[Revenue (₹)  ← add])</f>
        <v>226843.55000000002</v>
      </c>
      <c r="E21" s="37">
        <f>D21/C21</f>
        <v>1.0311070454545455</v>
      </c>
      <c r="F21" t="str">
        <f>IF(Table3[[#This Row],[Acheivement %]]&gt;=100%,"Target Met",IF(Table3[[#This Row],[Acheivement %]]&gt;=90%,"Close","Below Target"))</f>
        <v>Target Met</v>
      </c>
      <c r="G21">
        <f>RANK(Table3[[#This Row],[Achieved]],Table3[Achieved])</f>
        <v>4</v>
      </c>
    </row>
    <row r="22" spans="1:7" x14ac:dyDescent="0.3">
      <c r="A22" s="2" t="s">
        <v>244</v>
      </c>
      <c r="B22" s="2" t="str">
        <f>INDEX(Table4[Region],MATCH(A22,$A$2:$A$9,0))</f>
        <v>West</v>
      </c>
      <c r="C22" s="13">
        <f>INDEX(Table4[Annual Target (₹)],MATCH(Table3[[#This Row],[Salesperson]],Table4[Salesperson],0))</f>
        <v>270000</v>
      </c>
      <c r="D22" cm="1">
        <f t="array" ref="D22">SUMPRODUCT((Table1[Salesperson]=Table3[[#This Row],[Salesperson]])*Table1[Revenue (₹)  ← add])</f>
        <v>279915.3</v>
      </c>
      <c r="E22" s="37">
        <f>D22/C22</f>
        <v>1.0367233333333332</v>
      </c>
      <c r="F22" t="str">
        <f>IF(Table3[[#This Row],[Acheivement %]]&gt;=100%,"Target Met",IF(Table3[[#This Row],[Acheivement %]]&gt;=90%,"Close","Below Target"))</f>
        <v>Target Met</v>
      </c>
      <c r="G22">
        <f>RANK(Table3[[#This Row],[Achieved]],Table3[Achieved])</f>
        <v>1</v>
      </c>
    </row>
    <row r="24" spans="1:7" x14ac:dyDescent="0.3">
      <c r="A24" t="s">
        <v>659</v>
      </c>
      <c r="B24" t="str">
        <f>INDEX(Table3[Salesperson],MATCH(MAX(Table3[Achieved]),Table3[Achieved],0))</f>
        <v>Vikram Shah</v>
      </c>
    </row>
    <row r="25" spans="1:7" x14ac:dyDescent="0.3">
      <c r="A25" t="s">
        <v>660</v>
      </c>
      <c r="B25">
        <f>COUNTIF(Table3[Band],"Target Met")</f>
        <v>4</v>
      </c>
    </row>
    <row r="27" spans="1:7" x14ac:dyDescent="0.3">
      <c r="A27" s="41" t="s">
        <v>661</v>
      </c>
      <c r="B27" s="41" t="s">
        <v>662</v>
      </c>
      <c r="C27" s="41" t="s">
        <v>663</v>
      </c>
      <c r="D27" s="41" t="s">
        <v>664</v>
      </c>
      <c r="E27" s="41" t="s">
        <v>665</v>
      </c>
    </row>
    <row r="28" spans="1:7" x14ac:dyDescent="0.3">
      <c r="A28" cm="1">
        <f t="array" ref="A28:A39">_xlfn.UNIQUE(MONTH(Table1[Order Date]))</f>
        <v>1</v>
      </c>
      <c r="B28" t="str">
        <f>TEXT(DATE(2025,A28,1),"MMMM")</f>
        <v>January</v>
      </c>
      <c r="C28" cm="1">
        <f t="array" ref="C28">SUMPRODUCT((MONTH(Table1[Order Date])=A28)*Table1[Revenue (₹)  ← add])</f>
        <v>126289.64999999998</v>
      </c>
      <c r="D28">
        <f>SUM($C$28:C28)</f>
        <v>126289.64999999998</v>
      </c>
    </row>
    <row r="29" spans="1:7" x14ac:dyDescent="0.3">
      <c r="A29">
        <v>2</v>
      </c>
      <c r="B29" t="str">
        <f>TEXT(DATE(2025,A29,1),"MMMM")</f>
        <v>February</v>
      </c>
      <c r="C29" cm="1">
        <f t="array" ref="C29">SUMPRODUCT((MONTH(Table1[Order Date])=A29)*Table1[Revenue (₹)  ← add])</f>
        <v>156453.69999999998</v>
      </c>
      <c r="D29">
        <f>SUM($C$28:C29)</f>
        <v>282743.34999999998</v>
      </c>
      <c r="E29" s="37">
        <f>IF(C28=0,"",C29/C28-1)</f>
        <v>0.2388481558069091</v>
      </c>
    </row>
    <row r="30" spans="1:7" x14ac:dyDescent="0.3">
      <c r="A30">
        <v>3</v>
      </c>
      <c r="B30" t="str">
        <f>TEXT(DATE(2025,A30,1),"MMMM")</f>
        <v>March</v>
      </c>
      <c r="C30" cm="1">
        <f t="array" ref="C30">SUMPRODUCT((MONTH(Table1[Order Date])=A30)*Table1[Revenue (₹)  ← add])</f>
        <v>96114.900000000009</v>
      </c>
      <c r="D30">
        <f>SUM($C$28:C30)</f>
        <v>378858.25</v>
      </c>
      <c r="E30" s="37">
        <f>IF(C29=0,"",C30/C29-1)</f>
        <v>-0.38566553555460803</v>
      </c>
    </row>
    <row r="31" spans="1:7" x14ac:dyDescent="0.3">
      <c r="A31">
        <v>4</v>
      </c>
      <c r="B31" t="str">
        <f>TEXT(DATE(2025,A31,1),"MMMM")</f>
        <v>April</v>
      </c>
      <c r="C31" cm="1">
        <f t="array" ref="C31">SUMPRODUCT((MONTH(Table1[Order Date])=A31)*Table1[Revenue (₹)  ← add])</f>
        <v>130723.00000000003</v>
      </c>
      <c r="D31">
        <f>SUM($C$28:C31)</f>
        <v>509581.25</v>
      </c>
      <c r="E31" s="37">
        <f>IF(C30=0,"",C31/C30-1)</f>
        <v>0.3600700827863319</v>
      </c>
    </row>
    <row r="32" spans="1:7" x14ac:dyDescent="0.3">
      <c r="A32">
        <v>5</v>
      </c>
      <c r="B32" t="str">
        <f>TEXT(DATE(2025,A32,1),"MMMM")</f>
        <v>May</v>
      </c>
      <c r="C32" cm="1">
        <f t="array" ref="C32">SUMPRODUCT((MONTH(Table1[Order Date])=A32)*Table1[Revenue (₹)  ← add])</f>
        <v>196118.15</v>
      </c>
      <c r="D32">
        <f>SUM($C$28:C32)</f>
        <v>705699.4</v>
      </c>
      <c r="E32" s="37">
        <f>IF(C31=0,"",C32/C31-1)</f>
        <v>0.50025741453301986</v>
      </c>
    </row>
    <row r="33" spans="1:6" x14ac:dyDescent="0.3">
      <c r="A33">
        <v>6</v>
      </c>
      <c r="B33" t="str">
        <f>TEXT(DATE(2025,A33,1),"MMMM")</f>
        <v>June</v>
      </c>
      <c r="C33" cm="1">
        <f t="array" ref="C33">SUMPRODUCT((MONTH(Table1[Order Date])=A33)*Table1[Revenue (₹)  ← add])</f>
        <v>125040.2</v>
      </c>
      <c r="D33">
        <f>SUM($C$28:C33)</f>
        <v>830739.6</v>
      </c>
      <c r="E33" s="37">
        <f>IF(C32=0,"",C33/C32-1)</f>
        <v>-0.36242413055599387</v>
      </c>
    </row>
    <row r="34" spans="1:6" x14ac:dyDescent="0.3">
      <c r="A34">
        <v>7</v>
      </c>
      <c r="B34" t="str">
        <f>TEXT(DATE(2025,A34,1),"MMMM")</f>
        <v>July</v>
      </c>
      <c r="C34" cm="1">
        <f t="array" ref="C34">SUMPRODUCT((MONTH(Table1[Order Date])=A34)*Table1[Revenue (₹)  ← add])</f>
        <v>156061.79999999999</v>
      </c>
      <c r="D34">
        <f>SUM($C$28:C34)</f>
        <v>986801.39999999991</v>
      </c>
      <c r="E34" s="37">
        <f>IF(C33=0,"",C34/C33-1)</f>
        <v>0.24809301328692679</v>
      </c>
    </row>
    <row r="35" spans="1:6" x14ac:dyDescent="0.3">
      <c r="A35">
        <v>8</v>
      </c>
      <c r="B35" t="str">
        <f>TEXT(DATE(2025,A35,1),"MMMM")</f>
        <v>August</v>
      </c>
      <c r="C35" cm="1">
        <f t="array" ref="C35">SUMPRODUCT((MONTH(Table1[Order Date])=A35)*Table1[Revenue (₹)  ← add])</f>
        <v>127977.45000000001</v>
      </c>
      <c r="D35">
        <f>SUM($C$28:C35)</f>
        <v>1114778.8499999999</v>
      </c>
      <c r="E35" s="37">
        <f>IF(C34=0,"",C35/C34-1)</f>
        <v>-0.17995659411848375</v>
      </c>
    </row>
    <row r="36" spans="1:6" x14ac:dyDescent="0.3">
      <c r="A36">
        <v>9</v>
      </c>
      <c r="B36" t="str">
        <f>TEXT(DATE(2025,A36,1),"MMMM")</f>
        <v>September</v>
      </c>
      <c r="C36" cm="1">
        <f t="array" ref="C36">SUMPRODUCT((MONTH(Table1[Order Date])=A36)*Table1[Revenue (₹)  ← add])</f>
        <v>117795.75</v>
      </c>
      <c r="D36">
        <f>SUM($C$28:C36)</f>
        <v>1232574.5999999999</v>
      </c>
      <c r="E36" s="37">
        <f>IF(C35=0,"",C36/C35-1)</f>
        <v>-7.9558547228437582E-2</v>
      </c>
    </row>
    <row r="37" spans="1:6" x14ac:dyDescent="0.3">
      <c r="A37">
        <v>10</v>
      </c>
      <c r="B37" t="str">
        <f>TEXT(DATE(2025,A37,1),"MMMM")</f>
        <v>October</v>
      </c>
      <c r="C37" cm="1">
        <f t="array" ref="C37">SUMPRODUCT((MONTH(Table1[Order Date])=A37)*Table1[Revenue (₹)  ← add])</f>
        <v>201285.00000000003</v>
      </c>
      <c r="D37">
        <f>SUM($C$28:C37)</f>
        <v>1433859.5999999999</v>
      </c>
      <c r="E37" s="37">
        <f>IF(C36=0,"",C37/C36-1)</f>
        <v>0.70876283736892054</v>
      </c>
    </row>
    <row r="38" spans="1:6" x14ac:dyDescent="0.3">
      <c r="A38">
        <v>11</v>
      </c>
      <c r="B38" t="str">
        <f>TEXT(DATE(2025,A38,1),"MMMM")</f>
        <v>November</v>
      </c>
      <c r="C38" cm="1">
        <f t="array" ref="C38">SUMPRODUCT((MONTH(Table1[Order Date])=A38)*Table1[Revenue (₹)  ← add])</f>
        <v>221801.74999999997</v>
      </c>
      <c r="D38">
        <f>SUM($C$28:C38)</f>
        <v>1655661.3499999999</v>
      </c>
      <c r="E38" s="37">
        <f>IF(C37=0,"",C38/C37-1)</f>
        <v>0.10192885709317601</v>
      </c>
    </row>
    <row r="39" spans="1:6" x14ac:dyDescent="0.3">
      <c r="A39">
        <v>12</v>
      </c>
      <c r="B39" t="str">
        <f>TEXT(DATE(2025,A39,1),"MMMM")</f>
        <v>December</v>
      </c>
      <c r="C39" cm="1">
        <f t="array" ref="C39">SUMPRODUCT((MONTH(Table1[Order Date])=A39)*Table1[Revenue (₹)  ← add])</f>
        <v>92635.700000000012</v>
      </c>
      <c r="D39">
        <f>SUM($C$28:C39)</f>
        <v>1748297.0499999998</v>
      </c>
      <c r="E39" s="37">
        <f>IF(C38=0,"",C39/C38-1)</f>
        <v>-0.58234910229518011</v>
      </c>
    </row>
    <row r="40" spans="1:6" x14ac:dyDescent="0.3">
      <c r="A40" s="42" t="s">
        <v>666</v>
      </c>
      <c r="C40">
        <f>SUM(C28:C39)</f>
        <v>1748297.0499999998</v>
      </c>
    </row>
    <row r="41" spans="1:6" x14ac:dyDescent="0.3">
      <c r="A41" s="42"/>
    </row>
    <row r="42" spans="1:6" x14ac:dyDescent="0.3">
      <c r="A42" s="42"/>
    </row>
    <row r="43" spans="1:6" x14ac:dyDescent="0.3">
      <c r="A43" s="41" t="s">
        <v>667</v>
      </c>
      <c r="B43" s="41" t="str" cm="1">
        <f t="array" ref="B43:E43">TRANSPOSE(_xlfn.UNIQUE(Table1[Category]))</f>
        <v>Stationery</v>
      </c>
      <c r="C43" s="41" t="str">
        <v>Clothing</v>
      </c>
      <c r="D43" s="41" t="str">
        <v>Furniture</v>
      </c>
      <c r="E43" s="41" t="str">
        <v>Electronics</v>
      </c>
      <c r="F43" s="41" t="s">
        <v>666</v>
      </c>
    </row>
    <row r="44" spans="1:6" x14ac:dyDescent="0.3">
      <c r="A44" s="41" t="str" cm="1">
        <f t="array" ref="A44:A47">_xlfn.UNIQUE(Table1[Region])</f>
        <v>East</v>
      </c>
      <c r="B44" cm="1">
        <f t="array" ref="B44">SUMPRODUCT((Table1[Region]=$A44)*(Table1[Category]=B$43)*(Table1[Revenue (₹)  ← add]))</f>
        <v>71245.2</v>
      </c>
      <c r="C44" cm="1">
        <f t="array" ref="C44">SUMPRODUCT((Table1[Region]=$A44)*(Table1[Category]=C$43)*(Table1[Revenue (₹)  ← add]))</f>
        <v>61774.15</v>
      </c>
      <c r="D44" cm="1">
        <f t="array" ref="D44">SUMPRODUCT((Table1[Region]=$A44)*(Table1[Category]=D$43)*(Table1[Revenue (₹)  ← add]))</f>
        <v>236589.75</v>
      </c>
      <c r="E44" cm="1">
        <f t="array" ref="E44">SUMPRODUCT((Table1[Region]=$A44)*(Table1[Category]=E$43)*(Table1[Revenue (₹)  ← add]))</f>
        <v>62770.100000000006</v>
      </c>
      <c r="F44">
        <f>SUM(B44:E44)</f>
        <v>432379.19999999995</v>
      </c>
    </row>
    <row r="45" spans="1:6" x14ac:dyDescent="0.3">
      <c r="A45" s="41" t="str">
        <v>South</v>
      </c>
      <c r="B45" cm="1">
        <f t="array" ref="B45">SUMPRODUCT((Table1[Region]=$A45)*(Table1[Category]=B$43)*(Table1[Revenue (₹)  ← add]))</f>
        <v>67573.150000000009</v>
      </c>
      <c r="C45" cm="1">
        <f t="array" ref="C45">SUMPRODUCT((Table1[Region]=$A45)*(Table1[Category]=C$43)*(Table1[Revenue (₹)  ← add]))</f>
        <v>54941.55</v>
      </c>
      <c r="D45" cm="1">
        <f t="array" ref="D45">SUMPRODUCT((Table1[Region]=$A45)*(Table1[Category]=D$43)*(Table1[Revenue (₹)  ← add]))</f>
        <v>167274.59999999998</v>
      </c>
      <c r="E45" cm="1">
        <f t="array" ref="E45">SUMPRODUCT((Table1[Region]=$A45)*(Table1[Category]=E$43)*(Table1[Revenue (₹)  ← add]))</f>
        <v>150654.44999999998</v>
      </c>
      <c r="F45">
        <f>SUM(B45:E45)</f>
        <v>440443.75</v>
      </c>
    </row>
    <row r="46" spans="1:6" x14ac:dyDescent="0.3">
      <c r="A46" s="41" t="str">
        <v>North</v>
      </c>
      <c r="B46" cm="1">
        <f t="array" ref="B46">SUMPRODUCT((Table1[Region]=$A46)*(Table1[Category]=B$43)*(Table1[Revenue (₹)  ← add]))</f>
        <v>56599.950000000004</v>
      </c>
      <c r="C46" cm="1">
        <f t="array" ref="C46">SUMPRODUCT((Table1[Region]=$A46)*(Table1[Category]=C$43)*(Table1[Revenue (₹)  ← add]))</f>
        <v>58277</v>
      </c>
      <c r="D46" cm="1">
        <f t="array" ref="D46">SUMPRODUCT((Table1[Region]=$A46)*(Table1[Category]=D$43)*(Table1[Revenue (₹)  ← add]))</f>
        <v>155377.49999999997</v>
      </c>
      <c r="E46" cm="1">
        <f t="array" ref="E46">SUMPRODUCT((Table1[Region]=$A46)*(Table1[Category]=E$43)*(Table1[Revenue (₹)  ← add]))</f>
        <v>98460.800000000003</v>
      </c>
      <c r="F46">
        <f>SUM(B46:E46)</f>
        <v>368715.24999999994</v>
      </c>
    </row>
    <row r="47" spans="1:6" x14ac:dyDescent="0.3">
      <c r="A47" s="41" t="str">
        <v>West</v>
      </c>
      <c r="B47" cm="1">
        <f t="array" ref="B47">SUMPRODUCT((Table1[Region]=$A47)*(Table1[Category]=B$43)*(Table1[Revenue (₹)  ← add]))</f>
        <v>65183.65</v>
      </c>
      <c r="C47" cm="1">
        <f t="array" ref="C47">SUMPRODUCT((Table1[Region]=$A47)*(Table1[Category]=C$43)*(Table1[Revenue (₹)  ← add]))</f>
        <v>71596</v>
      </c>
      <c r="D47" cm="1">
        <f t="array" ref="D47">SUMPRODUCT((Table1[Region]=$A47)*(Table1[Category]=D$43)*(Table1[Revenue (₹)  ← add]))</f>
        <v>211945.49999999997</v>
      </c>
      <c r="E47" cm="1">
        <f t="array" ref="E47">SUMPRODUCT((Table1[Region]=$A47)*(Table1[Category]=E$43)*(Table1[Revenue (₹)  ← add]))</f>
        <v>158033.70000000001</v>
      </c>
      <c r="F47">
        <f>SUM(B47:E47)</f>
        <v>506758.85</v>
      </c>
    </row>
    <row r="48" spans="1:6" x14ac:dyDescent="0.3">
      <c r="A48" s="41" t="s">
        <v>666</v>
      </c>
      <c r="B48">
        <f>SUM(B44:B47)</f>
        <v>260601.95</v>
      </c>
      <c r="C48">
        <f>SUM(C44:C47)</f>
        <v>246588.7</v>
      </c>
      <c r="D48">
        <f>SUM(D44:D47)</f>
        <v>771187.35</v>
      </c>
      <c r="E48">
        <f>SUM(E44:E47)</f>
        <v>469919.05</v>
      </c>
      <c r="F48">
        <f>SUM(F44:F47)</f>
        <v>1748297.0499999998</v>
      </c>
    </row>
    <row r="50" spans="1:5" x14ac:dyDescent="0.3">
      <c r="A50" s="40" t="s">
        <v>509</v>
      </c>
      <c r="B50" s="37">
        <f>B48/$F$48</f>
        <v>0.14906045285610933</v>
      </c>
      <c r="C50" s="37">
        <f>C48/$F$48</f>
        <v>0.14104508155521972</v>
      </c>
      <c r="D50" s="37">
        <f>D48/$F$48</f>
        <v>0.44110773395173325</v>
      </c>
      <c r="E50" s="37">
        <f>E48/$F$48</f>
        <v>0.26878673163693778</v>
      </c>
    </row>
    <row r="51" spans="1:5" x14ac:dyDescent="0.3">
      <c r="B51" s="37"/>
      <c r="C51" s="37"/>
      <c r="D51" s="37"/>
      <c r="E51" s="37"/>
    </row>
    <row r="52" spans="1:5" x14ac:dyDescent="0.3">
      <c r="A52" s="40" t="s">
        <v>668</v>
      </c>
      <c r="B52" s="40" t="s">
        <v>669</v>
      </c>
      <c r="C52" s="40" t="s">
        <v>663</v>
      </c>
    </row>
    <row r="53" spans="1:5" x14ac:dyDescent="0.3">
      <c r="A53">
        <v>1</v>
      </c>
      <c r="B53" t="str">
        <f>INDEX(A15:A22,MATCH(LARGE(D15:D22,A53),D15:D22,0))</f>
        <v>Vikram Shah</v>
      </c>
      <c r="C53" cm="1">
        <f t="array" ref="C53:C55">INDEX(Table3[Achieved],MATCH(B53:B55,Table3[Salesperson],0))</f>
        <v>279915.3</v>
      </c>
    </row>
    <row r="54" spans="1:5" x14ac:dyDescent="0.3">
      <c r="A54">
        <v>2</v>
      </c>
      <c r="B54" t="str">
        <f>INDEX(Table4[Salesperson],MATCH(LARGE(Table4[Annual Target (₹)],A54),Table4[Annual Target (₹)],0))</f>
        <v>Meera Nair</v>
      </c>
      <c r="C54">
        <v>260777.74999999997</v>
      </c>
    </row>
    <row r="55" spans="1:5" x14ac:dyDescent="0.3">
      <c r="A55">
        <v>3</v>
      </c>
      <c r="B55" t="str">
        <f>INDEX(Table4[Salesperson],MATCH(LARGE(Table4[Annual Target (₹)],A55),Table4[Annual Target (₹)],0))</f>
        <v>Rohit Das</v>
      </c>
      <c r="C55">
        <v>227080.59999999998</v>
      </c>
    </row>
    <row r="57" spans="1:5" x14ac:dyDescent="0.3">
      <c r="A57" t="s">
        <v>670</v>
      </c>
      <c r="B57" cm="1">
        <f t="array" ref="B57">SUMPRODUCT(1/COUNTIF(Table1[City],Table1[City]))</f>
        <v>11.999999999999972</v>
      </c>
      <c r="C57">
        <f>COUNTA(_xlfn.UNIQUE(Table1[City]))</f>
        <v>12</v>
      </c>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D0CC-39F0-482B-A402-73086264B844}">
  <dimension ref="A2:J13"/>
  <sheetViews>
    <sheetView workbookViewId="0">
      <selection activeCell="K2" sqref="K2:L26"/>
    </sheetView>
  </sheetViews>
  <sheetFormatPr defaultRowHeight="14.4" x14ac:dyDescent="0.3"/>
  <cols>
    <col min="1" max="1" width="25.6640625" bestFit="1" customWidth="1"/>
    <col min="2" max="2" width="15.5546875" bestFit="1" customWidth="1"/>
    <col min="3" max="3" width="10" bestFit="1" customWidth="1"/>
    <col min="4" max="4" width="8.6640625" bestFit="1" customWidth="1"/>
    <col min="5" max="5" width="9.6640625" bestFit="1" customWidth="1"/>
    <col min="6" max="6" width="10.77734375" bestFit="1" customWidth="1"/>
  </cols>
  <sheetData>
    <row r="2" spans="1:10" x14ac:dyDescent="0.3">
      <c r="A2" s="46" t="s">
        <v>172</v>
      </c>
      <c r="B2" s="46" t="s">
        <v>495</v>
      </c>
      <c r="C2" s="46" t="s">
        <v>511</v>
      </c>
      <c r="D2" s="46" t="s">
        <v>672</v>
      </c>
      <c r="E2" s="46" t="s">
        <v>673</v>
      </c>
    </row>
    <row r="3" spans="1:10" x14ac:dyDescent="0.3">
      <c r="A3" t="s">
        <v>238</v>
      </c>
      <c r="B3">
        <f>SUMIF(Table1[Region],A3,Table1[Revenue (₹)  ← add])</f>
        <v>506758.85000000003</v>
      </c>
      <c r="C3">
        <f>COUNTIF(Table1[Region],A3)</f>
        <v>65</v>
      </c>
      <c r="D3" s="37">
        <f>AVERAGEIF(Table1[Region],A3,Table1[Discount %])</f>
        <v>7.2307692307692295E-2</v>
      </c>
      <c r="E3" s="37">
        <f>(COUNTIFS(Table1[Region],A3,Table1[Status],"Returned")/COUNTIF(Table1[Status],"Returned"))</f>
        <v>0.4</v>
      </c>
      <c r="J3" t="str" cm="1">
        <f t="array" ref="J3:J6">_xlfn.UNIQUE(Table1[Region])</f>
        <v>East</v>
      </c>
    </row>
    <row r="4" spans="1:10" x14ac:dyDescent="0.3">
      <c r="J4" t="str">
        <v>South</v>
      </c>
    </row>
    <row r="5" spans="1:10" x14ac:dyDescent="0.3">
      <c r="J5" t="str">
        <v>North</v>
      </c>
    </row>
    <row r="6" spans="1:10" x14ac:dyDescent="0.3">
      <c r="J6" t="str">
        <v>West</v>
      </c>
    </row>
    <row r="7" spans="1:10" x14ac:dyDescent="0.3">
      <c r="A7" s="43" t="s">
        <v>671</v>
      </c>
      <c r="B7" s="43" t="s">
        <v>639</v>
      </c>
    </row>
    <row r="8" spans="1:10" x14ac:dyDescent="0.3">
      <c r="A8" s="43" t="s">
        <v>637</v>
      </c>
      <c r="B8" t="s">
        <v>198</v>
      </c>
      <c r="C8" t="s">
        <v>217</v>
      </c>
      <c r="D8" t="s">
        <v>201</v>
      </c>
      <c r="E8" t="s">
        <v>192</v>
      </c>
      <c r="F8" t="s">
        <v>638</v>
      </c>
    </row>
    <row r="9" spans="1:10" x14ac:dyDescent="0.3">
      <c r="A9" s="44" t="s">
        <v>189</v>
      </c>
      <c r="B9" s="45">
        <v>3</v>
      </c>
      <c r="C9" s="45">
        <v>1</v>
      </c>
      <c r="D9" s="45">
        <v>1</v>
      </c>
      <c r="E9" s="45">
        <v>2</v>
      </c>
      <c r="F9" s="45">
        <v>7</v>
      </c>
    </row>
    <row r="10" spans="1:10" x14ac:dyDescent="0.3">
      <c r="A10" s="44" t="s">
        <v>222</v>
      </c>
      <c r="B10" s="45">
        <v>1</v>
      </c>
      <c r="C10" s="45"/>
      <c r="D10" s="45">
        <v>1</v>
      </c>
      <c r="E10" s="45">
        <v>3</v>
      </c>
      <c r="F10" s="45">
        <v>5</v>
      </c>
    </row>
    <row r="11" spans="1:10" x14ac:dyDescent="0.3">
      <c r="A11" s="44" t="s">
        <v>205</v>
      </c>
      <c r="B11" s="45">
        <v>1</v>
      </c>
      <c r="C11" s="45">
        <v>4</v>
      </c>
      <c r="D11" s="45">
        <v>1</v>
      </c>
      <c r="E11" s="45">
        <v>4</v>
      </c>
      <c r="F11" s="45">
        <v>10</v>
      </c>
    </row>
    <row r="12" spans="1:10" x14ac:dyDescent="0.3">
      <c r="A12" s="44" t="s">
        <v>238</v>
      </c>
      <c r="B12" s="45">
        <v>1</v>
      </c>
      <c r="C12" s="45">
        <v>5</v>
      </c>
      <c r="D12" s="45">
        <v>2</v>
      </c>
      <c r="E12" s="45">
        <v>3</v>
      </c>
      <c r="F12" s="45">
        <v>11</v>
      </c>
    </row>
    <row r="13" spans="1:10" x14ac:dyDescent="0.3">
      <c r="A13" s="44" t="s">
        <v>638</v>
      </c>
      <c r="B13" s="45">
        <v>6</v>
      </c>
      <c r="C13" s="45">
        <v>10</v>
      </c>
      <c r="D13" s="45">
        <v>5</v>
      </c>
      <c r="E13" s="45">
        <v>12</v>
      </c>
      <c r="F13" s="45">
        <v>33</v>
      </c>
    </row>
  </sheetData>
  <dataValidations count="1">
    <dataValidation type="list" allowBlank="1" showInputMessage="1" showErrorMessage="1" sqref="A3" xr:uid="{73532015-B66D-4226-BFD1-C2971E08B35F}">
      <formula1>$J$3:$J$6</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zoomScaleNormal="100" workbookViewId="0">
      <selection activeCell="E2" sqref="E2"/>
    </sheetView>
  </sheetViews>
  <sheetFormatPr defaultColWidth="8.6640625" defaultRowHeight="14.4" x14ac:dyDescent="0.3"/>
  <cols>
    <col min="1" max="2" width="20" customWidth="1"/>
    <col min="3" max="4" width="14" customWidth="1"/>
  </cols>
  <sheetData>
    <row r="1" spans="1:4" x14ac:dyDescent="0.3">
      <c r="A1" s="4" t="s">
        <v>491</v>
      </c>
      <c r="B1" s="4" t="s">
        <v>492</v>
      </c>
      <c r="C1" s="4" t="s">
        <v>173</v>
      </c>
      <c r="D1" s="4" t="s">
        <v>493</v>
      </c>
    </row>
    <row r="2" spans="1:4" x14ac:dyDescent="0.3">
      <c r="A2" s="2" t="s">
        <v>631</v>
      </c>
      <c r="B2" s="27">
        <v>9876543210</v>
      </c>
      <c r="C2" s="2" t="s">
        <v>254</v>
      </c>
      <c r="D2" s="29">
        <v>1250</v>
      </c>
    </row>
    <row r="3" spans="1:4" x14ac:dyDescent="0.3">
      <c r="A3" s="2" t="s">
        <v>632</v>
      </c>
      <c r="B3" s="27">
        <v>9876543211</v>
      </c>
      <c r="C3" s="2" t="s">
        <v>254</v>
      </c>
      <c r="D3" s="28">
        <v>2999</v>
      </c>
    </row>
    <row r="4" spans="1:4" x14ac:dyDescent="0.3">
      <c r="A4" s="2" t="s">
        <v>633</v>
      </c>
      <c r="B4" s="27">
        <v>9876543212</v>
      </c>
      <c r="C4" s="2" t="s">
        <v>243</v>
      </c>
      <c r="D4" s="28">
        <v>850</v>
      </c>
    </row>
    <row r="5" spans="1:4" x14ac:dyDescent="0.3">
      <c r="A5" s="2" t="s">
        <v>631</v>
      </c>
      <c r="B5" s="27">
        <v>9876543210</v>
      </c>
      <c r="C5" s="2" t="s">
        <v>243</v>
      </c>
      <c r="D5" s="28">
        <v>1499</v>
      </c>
    </row>
    <row r="6" spans="1:4" x14ac:dyDescent="0.3">
      <c r="A6" s="2" t="s">
        <v>634</v>
      </c>
      <c r="B6" s="27">
        <v>9876543213</v>
      </c>
      <c r="C6" s="2" t="s">
        <v>223</v>
      </c>
      <c r="D6" s="28">
        <v>3450</v>
      </c>
    </row>
    <row r="7" spans="1:4" x14ac:dyDescent="0.3">
      <c r="A7" s="2" t="s">
        <v>635</v>
      </c>
      <c r="B7" s="27">
        <v>9876543214</v>
      </c>
      <c r="C7" s="2" t="s">
        <v>223</v>
      </c>
      <c r="D7" s="28">
        <v>599</v>
      </c>
    </row>
    <row r="8" spans="1:4" x14ac:dyDescent="0.3">
      <c r="A8" s="2" t="s">
        <v>632</v>
      </c>
      <c r="B8" s="27">
        <v>9876543211</v>
      </c>
      <c r="C8" s="2" t="s">
        <v>259</v>
      </c>
      <c r="D8" s="28">
        <v>1250</v>
      </c>
    </row>
    <row r="9" spans="1:4" x14ac:dyDescent="0.3">
      <c r="A9" s="2" t="s">
        <v>636</v>
      </c>
      <c r="B9" s="27">
        <v>9876543215</v>
      </c>
      <c r="C9" s="2" t="s">
        <v>259</v>
      </c>
      <c r="D9" s="28">
        <v>2100</v>
      </c>
    </row>
    <row r="10" spans="1:4" x14ac:dyDescent="0.3">
      <c r="A10" s="2" t="s">
        <v>240</v>
      </c>
      <c r="B10" s="27">
        <v>9876543216</v>
      </c>
      <c r="C10" s="2" t="s">
        <v>254</v>
      </c>
      <c r="D10" s="28">
        <v>799</v>
      </c>
    </row>
    <row r="11" spans="1:4" x14ac:dyDescent="0.3">
      <c r="A11" s="2" t="s">
        <v>634</v>
      </c>
      <c r="B11" s="27">
        <v>9876543213</v>
      </c>
      <c r="C11" s="2" t="s">
        <v>223</v>
      </c>
      <c r="D11" s="28">
        <v>1999</v>
      </c>
    </row>
    <row r="12" spans="1:4" x14ac:dyDescent="0.3">
      <c r="A12" s="2" t="s">
        <v>244</v>
      </c>
      <c r="B12" s="27">
        <v>9876543217</v>
      </c>
      <c r="C12" s="2" t="s">
        <v>243</v>
      </c>
      <c r="D12" s="28">
        <v>4200</v>
      </c>
    </row>
    <row r="13" spans="1:4" x14ac:dyDescent="0.3">
      <c r="A13" s="2" t="s">
        <v>213</v>
      </c>
      <c r="B13" s="27">
        <v>9876543218</v>
      </c>
      <c r="C13" s="2" t="s">
        <v>223</v>
      </c>
      <c r="D13" s="28">
        <v>649</v>
      </c>
    </row>
    <row r="15" spans="1:4" x14ac:dyDescent="0.3">
      <c r="A15" s="31" t="s">
        <v>640</v>
      </c>
      <c r="B15">
        <f>COUNTA(_xlfn.UNIQUE(A2:A13))</f>
        <v>9</v>
      </c>
      <c r="D15" s="30">
        <f>SUM(D2:D13)</f>
        <v>21644</v>
      </c>
    </row>
    <row r="16" spans="1:4" x14ac:dyDescent="0.3">
      <c r="A16" s="31" t="s">
        <v>641</v>
      </c>
      <c r="B16" cm="1">
        <f t="array" ref="B16">SUMPRODUCT(1/COUNTIF(A2:A13,A2:A13))</f>
        <v>9</v>
      </c>
      <c r="C16" cm="1">
        <f t="array" ref="C16:C27">COUNTIF(A2:A13,A2:A13)</f>
        <v>2</v>
      </c>
    </row>
    <row r="17" spans="3:3" x14ac:dyDescent="0.3">
      <c r="C17">
        <v>2</v>
      </c>
    </row>
    <row r="18" spans="3:3" x14ac:dyDescent="0.3">
      <c r="C18">
        <v>1</v>
      </c>
    </row>
    <row r="19" spans="3:3" x14ac:dyDescent="0.3">
      <c r="C19">
        <v>2</v>
      </c>
    </row>
    <row r="20" spans="3:3" x14ac:dyDescent="0.3">
      <c r="C20">
        <v>2</v>
      </c>
    </row>
    <row r="21" spans="3:3" x14ac:dyDescent="0.3">
      <c r="C21">
        <v>1</v>
      </c>
    </row>
    <row r="22" spans="3:3" x14ac:dyDescent="0.3">
      <c r="C22">
        <v>2</v>
      </c>
    </row>
    <row r="23" spans="3:3" x14ac:dyDescent="0.3">
      <c r="C23">
        <v>1</v>
      </c>
    </row>
    <row r="24" spans="3:3" x14ac:dyDescent="0.3">
      <c r="C24">
        <v>1</v>
      </c>
    </row>
    <row r="25" spans="3:3" x14ac:dyDescent="0.3">
      <c r="C25">
        <v>2</v>
      </c>
    </row>
    <row r="26" spans="3:3" x14ac:dyDescent="0.3">
      <c r="C26">
        <v>1</v>
      </c>
    </row>
    <row r="27" spans="3:3" x14ac:dyDescent="0.3">
      <c r="C27">
        <v>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4"/>
  <sheetViews>
    <sheetView tabSelected="1" topLeftCell="A2" zoomScaleNormal="100" workbookViewId="0">
      <selection activeCell="F16" sqref="F16"/>
    </sheetView>
  </sheetViews>
  <sheetFormatPr defaultColWidth="8.6640625" defaultRowHeight="14.4" x14ac:dyDescent="0.3"/>
  <cols>
    <col min="1" max="1" width="18" customWidth="1"/>
    <col min="2" max="2" width="14" customWidth="1"/>
    <col min="3" max="3" width="18" customWidth="1"/>
    <col min="4" max="5" width="16" customWidth="1"/>
    <col min="6" max="6" width="14" customWidth="1"/>
    <col min="7" max="7" width="8" customWidth="1"/>
  </cols>
  <sheetData>
    <row r="1" spans="1:7" ht="15.6" x14ac:dyDescent="0.3">
      <c r="A1" s="1" t="s">
        <v>494</v>
      </c>
    </row>
    <row r="2" spans="1:7" x14ac:dyDescent="0.3">
      <c r="A2" s="4" t="s">
        <v>174</v>
      </c>
      <c r="B2" s="4" t="s">
        <v>172</v>
      </c>
      <c r="C2" s="4" t="s">
        <v>495</v>
      </c>
      <c r="D2" s="4" t="s">
        <v>496</v>
      </c>
      <c r="E2" s="4" t="s">
        <v>497</v>
      </c>
      <c r="F2" s="4" t="s">
        <v>498</v>
      </c>
      <c r="G2" s="4" t="s">
        <v>499</v>
      </c>
    </row>
    <row r="3" spans="1:7" x14ac:dyDescent="0.3">
      <c r="A3" s="2" t="str">
        <f>Targets!A2</f>
        <v>Aarav Mehta</v>
      </c>
      <c r="B3" s="2" t="str">
        <f>INDEX(Targets!$B$2:$B$9,MATCH(A3,Targets!$A$2:$A$9,0))</f>
        <v>North</v>
      </c>
      <c r="C3" s="15">
        <f>SUMPRODUCT((Sales_Data!$F$2:$F$251=A3)*Sales_Data!$I$2:$I$251*Sales_Data!$J$2:$J$251*(1-Sales_Data!$K$2:$K$251))</f>
        <v>172982.10000000003</v>
      </c>
      <c r="D3" s="15">
        <f>INDEX(Targets!$C$2:$C$9,MATCH(A3,Targets!$A$2:$A$9,0))</f>
        <v>170000</v>
      </c>
      <c r="E3" s="16">
        <f t="shared" ref="E3:E10" si="0">C3/D3</f>
        <v>1.0175417647058826</v>
      </c>
      <c r="F3" s="2" t="str">
        <f t="shared" ref="F3:F10" si="1">IF(E3&gt;=1,"Target Met",IF(E3&gt;=0.9,"Close","Below Target"))</f>
        <v>Target Met</v>
      </c>
      <c r="G3" s="2">
        <f t="shared" ref="G3:G10" si="2">RANK(C3,$C$3:$C$10)</f>
        <v>8</v>
      </c>
    </row>
    <row r="4" spans="1:7" x14ac:dyDescent="0.3">
      <c r="A4" s="2" t="str">
        <f>Targets!A3</f>
        <v>Simran Kaur</v>
      </c>
      <c r="B4" s="2" t="str">
        <f>INDEX(Targets!$B$2:$B$9,MATCH(A4,Targets!$A$2:$A$9,0))</f>
        <v>North</v>
      </c>
      <c r="C4" s="15">
        <f>SUMPRODUCT((Sales_Data!$F$2:$F$251=A4)*Sales_Data!$I$2:$I$251*Sales_Data!$J$2:$J$251*(1-Sales_Data!$K$2:$K$251))</f>
        <v>195733.15000000002</v>
      </c>
      <c r="D4" s="15">
        <f>INDEX(Targets!$C$2:$C$9,MATCH(A4,Targets!$A$2:$A$9,0))</f>
        <v>210000</v>
      </c>
      <c r="E4" s="16">
        <f t="shared" si="0"/>
        <v>0.93206261904761911</v>
      </c>
      <c r="F4" s="2" t="str">
        <f t="shared" si="1"/>
        <v>Close</v>
      </c>
      <c r="G4" s="2">
        <f t="shared" si="2"/>
        <v>6</v>
      </c>
    </row>
    <row r="5" spans="1:7" x14ac:dyDescent="0.3">
      <c r="A5" s="2" t="str">
        <f>Targets!A4</f>
        <v>Karthik Iyer</v>
      </c>
      <c r="B5" s="2" t="str">
        <f>INDEX(Targets!$B$2:$B$9,MATCH(A5,Targets!$A$2:$A$9,0))</f>
        <v>South</v>
      </c>
      <c r="C5" s="15">
        <f>SUMPRODUCT((Sales_Data!$F$2:$F$251=A5)*Sales_Data!$I$2:$I$251*Sales_Data!$J$2:$J$251*(1-Sales_Data!$K$2:$K$251))</f>
        <v>179665.99999999997</v>
      </c>
      <c r="D5" s="15">
        <f>INDEX(Targets!$C$2:$C$9,MATCH(A5,Targets!$A$2:$A$9,0))</f>
        <v>180000</v>
      </c>
      <c r="E5" s="16">
        <f t="shared" si="0"/>
        <v>0.99814444444444428</v>
      </c>
      <c r="F5" s="2" t="str">
        <f t="shared" si="1"/>
        <v>Close</v>
      </c>
      <c r="G5" s="2">
        <f t="shared" si="2"/>
        <v>7</v>
      </c>
    </row>
    <row r="6" spans="1:7" x14ac:dyDescent="0.3">
      <c r="A6" s="2" t="str">
        <f>Targets!A5</f>
        <v>Meera Nair</v>
      </c>
      <c r="B6" s="2" t="str">
        <f>INDEX(Targets!$B$2:$B$9,MATCH(A6,Targets!$A$2:$A$9,0))</f>
        <v>South</v>
      </c>
      <c r="C6" s="15">
        <f>SUMPRODUCT((Sales_Data!$F$2:$F$251=A6)*Sales_Data!$I$2:$I$251*Sales_Data!$J$2:$J$251*(1-Sales_Data!$K$2:$K$251))</f>
        <v>260777.74999999997</v>
      </c>
      <c r="D6" s="15">
        <f>INDEX(Targets!$C$2:$C$9,MATCH(A6,Targets!$A$2:$A$9,0))</f>
        <v>270000</v>
      </c>
      <c r="E6" s="16">
        <f t="shared" si="0"/>
        <v>0.96584351851851846</v>
      </c>
      <c r="F6" s="2" t="str">
        <f t="shared" si="1"/>
        <v>Close</v>
      </c>
      <c r="G6" s="2">
        <f t="shared" si="2"/>
        <v>2</v>
      </c>
    </row>
    <row r="7" spans="1:7" x14ac:dyDescent="0.3">
      <c r="A7" s="2" t="str">
        <f>Targets!A6</f>
        <v>Rohit Das</v>
      </c>
      <c r="B7" s="2" t="str">
        <f>INDEX(Targets!$B$2:$B$9,MATCH(A7,Targets!$A$2:$A$9,0))</f>
        <v>East</v>
      </c>
      <c r="C7" s="15">
        <f>SUMPRODUCT((Sales_Data!$F$2:$F$251=A7)*Sales_Data!$I$2:$I$251*Sales_Data!$J$2:$J$251*(1-Sales_Data!$K$2:$K$251))</f>
        <v>227080.59999999998</v>
      </c>
      <c r="D7" s="15">
        <f>INDEX(Targets!$C$2:$C$9,MATCH(A7,Targets!$A$2:$A$9,0))</f>
        <v>250000</v>
      </c>
      <c r="E7" s="16">
        <f t="shared" si="0"/>
        <v>0.90832239999999986</v>
      </c>
      <c r="F7" s="2" t="str">
        <f t="shared" si="1"/>
        <v>Close</v>
      </c>
      <c r="G7" s="2">
        <f t="shared" si="2"/>
        <v>3</v>
      </c>
    </row>
    <row r="8" spans="1:7" x14ac:dyDescent="0.3">
      <c r="A8" s="2" t="str">
        <f>Targets!A7</f>
        <v>Ananya Sen</v>
      </c>
      <c r="B8" s="2" t="str">
        <f>INDEX(Targets!$B$2:$B$9,MATCH(A8,Targets!$A$2:$A$9,0))</f>
        <v>East</v>
      </c>
      <c r="C8" s="15">
        <f>SUMPRODUCT((Sales_Data!$F$2:$F$251=A8)*Sales_Data!$I$2:$I$251*Sales_Data!$J$2:$J$251*(1-Sales_Data!$K$2:$K$251))</f>
        <v>205298.6</v>
      </c>
      <c r="D8" s="15">
        <f>INDEX(Targets!$C$2:$C$9,MATCH(A8,Targets!$A$2:$A$9,0))</f>
        <v>190000</v>
      </c>
      <c r="E8" s="16">
        <f t="shared" si="0"/>
        <v>1.0805189473684211</v>
      </c>
      <c r="F8" s="2" t="str">
        <f t="shared" si="1"/>
        <v>Target Met</v>
      </c>
      <c r="G8" s="2">
        <f t="shared" si="2"/>
        <v>5</v>
      </c>
    </row>
    <row r="9" spans="1:7" x14ac:dyDescent="0.3">
      <c r="A9" s="2" t="str">
        <f>Targets!A8</f>
        <v>Neha Joshi</v>
      </c>
      <c r="B9" s="2" t="str">
        <f>INDEX(Targets!$B$2:$B$9,MATCH(A9,Targets!$A$2:$A$9,0))</f>
        <v>West</v>
      </c>
      <c r="C9" s="15">
        <f>SUMPRODUCT((Sales_Data!$F$2:$F$251=A9)*Sales_Data!$I$2:$I$251*Sales_Data!$J$2:$J$251*(1-Sales_Data!$K$2:$K$251))</f>
        <v>226843.55000000002</v>
      </c>
      <c r="D9" s="15">
        <f>INDEX(Targets!$C$2:$C$9,MATCH(A9,Targets!$A$2:$A$9,0))</f>
        <v>220000</v>
      </c>
      <c r="E9" s="16">
        <f t="shared" si="0"/>
        <v>1.0311070454545455</v>
      </c>
      <c r="F9" s="2" t="str">
        <f t="shared" si="1"/>
        <v>Target Met</v>
      </c>
      <c r="G9" s="2">
        <f t="shared" si="2"/>
        <v>4</v>
      </c>
    </row>
    <row r="10" spans="1:7" x14ac:dyDescent="0.3">
      <c r="A10" s="2" t="str">
        <f>Targets!A9</f>
        <v>Vikram Shah</v>
      </c>
      <c r="B10" s="2" t="str">
        <f>INDEX(Targets!$B$2:$B$9,MATCH(A10,Targets!$A$2:$A$9,0))</f>
        <v>West</v>
      </c>
      <c r="C10" s="15">
        <f>SUMPRODUCT((Sales_Data!$F$2:$F$251=A10)*Sales_Data!$I$2:$I$251*Sales_Data!$J$2:$J$251*(1-Sales_Data!$K$2:$K$251))</f>
        <v>279915.3</v>
      </c>
      <c r="D10" s="15">
        <f>INDEX(Targets!$C$2:$C$9,MATCH(A10,Targets!$A$2:$A$9,0))</f>
        <v>270000</v>
      </c>
      <c r="E10" s="16">
        <f t="shared" si="0"/>
        <v>1.0367233333333332</v>
      </c>
      <c r="F10" s="2" t="str">
        <f t="shared" si="1"/>
        <v>Target Met</v>
      </c>
      <c r="G10" s="2">
        <f t="shared" si="2"/>
        <v>1</v>
      </c>
    </row>
    <row r="12" spans="1:7" x14ac:dyDescent="0.3">
      <c r="A12" s="3" t="s">
        <v>500</v>
      </c>
      <c r="B12" s="3" t="str">
        <f>INDEX(A3:A10,MATCH(MAX(C3:C10),C3:C10,0))</f>
        <v>Vikram Shah</v>
      </c>
    </row>
    <row r="14" spans="1:7" ht="15.6" x14ac:dyDescent="0.3">
      <c r="A14" s="1" t="s">
        <v>501</v>
      </c>
    </row>
    <row r="15" spans="1:7" x14ac:dyDescent="0.3">
      <c r="A15" s="4" t="s">
        <v>499</v>
      </c>
      <c r="B15" s="4" t="s">
        <v>174</v>
      </c>
      <c r="C15" s="4" t="s">
        <v>495</v>
      </c>
    </row>
    <row r="16" spans="1:7" x14ac:dyDescent="0.3">
      <c r="A16" s="2">
        <v>1</v>
      </c>
      <c r="B16" s="2" t="str">
        <f>INDEX($A$3:$A$10,MATCH(LARGE($C$3:$C$10,A16),$C$3:$C$10,0))</f>
        <v>Vikram Shah</v>
      </c>
      <c r="C16" s="15">
        <f>LARGE($C$3:$C$10,A16)</f>
        <v>279915.3</v>
      </c>
    </row>
    <row r="17" spans="1:5" x14ac:dyDescent="0.3">
      <c r="A17" s="2">
        <v>2</v>
      </c>
      <c r="B17" s="2" t="str">
        <f>INDEX($A$3:$A$10,MATCH(LARGE($C$3:$C$10,A17),$C$3:$C$10,0))</f>
        <v>Meera Nair</v>
      </c>
      <c r="C17" s="15">
        <f>LARGE($C$3:$C$10,A17)</f>
        <v>260777.74999999997</v>
      </c>
    </row>
    <row r="18" spans="1:5" x14ac:dyDescent="0.3">
      <c r="A18" s="2">
        <v>3</v>
      </c>
      <c r="B18" s="2" t="str">
        <f>INDEX($A$3:$A$10,MATCH(LARGE($C$3:$C$10,A18),$C$3:$C$10,0))</f>
        <v>Rohit Das</v>
      </c>
      <c r="C18" s="15">
        <f>LARGE($C$3:$C$10,A18)</f>
        <v>227080.59999999998</v>
      </c>
    </row>
    <row r="21" spans="1:5" ht="15.6" x14ac:dyDescent="0.3">
      <c r="A21" s="1" t="s">
        <v>502</v>
      </c>
    </row>
    <row r="22" spans="1:5" x14ac:dyDescent="0.3">
      <c r="A22" s="4" t="s">
        <v>503</v>
      </c>
      <c r="B22" s="4" t="s">
        <v>504</v>
      </c>
      <c r="C22" s="4" t="s">
        <v>495</v>
      </c>
      <c r="D22" s="4" t="s">
        <v>505</v>
      </c>
      <c r="E22" s="4" t="s">
        <v>506</v>
      </c>
    </row>
    <row r="23" spans="1:5" x14ac:dyDescent="0.3">
      <c r="A23" s="2">
        <v>1</v>
      </c>
      <c r="B23" s="2" t="str">
        <f t="shared" ref="B23:B34" si="3">TEXT(DATE(2025,A23,1),"mmm")</f>
        <v>Jan</v>
      </c>
      <c r="C23" s="15">
        <f>SUMPRODUCT((MONTH(Sales_Data!$B$2:$B$251)=A23)*Sales_Data!$I$2:$I$251*Sales_Data!$J$2:$J$251*(1-Sales_Data!$K$2:$K$251))</f>
        <v>126289.64999999998</v>
      </c>
      <c r="D23" s="15">
        <f>SUM($C$23:C23)</f>
        <v>126289.64999999998</v>
      </c>
    </row>
    <row r="24" spans="1:5" x14ac:dyDescent="0.3">
      <c r="A24" s="2">
        <v>2</v>
      </c>
      <c r="B24" s="2" t="str">
        <f t="shared" si="3"/>
        <v>Feb</v>
      </c>
      <c r="C24" s="15">
        <f>SUMPRODUCT((MONTH(Sales_Data!$B$2:$B$251)=A24)*Sales_Data!$I$2:$I$251*Sales_Data!$J$2:$J$251*(1-Sales_Data!$K$2:$K$251))</f>
        <v>156453.69999999998</v>
      </c>
      <c r="D24" s="15">
        <f>SUM($C$23:C24)</f>
        <v>282743.34999999998</v>
      </c>
      <c r="E24" s="16">
        <f t="shared" ref="E24:E34" si="4">IF(C23=0,"",C24/C23-1)</f>
        <v>0.2388481558069091</v>
      </c>
    </row>
    <row r="25" spans="1:5" x14ac:dyDescent="0.3">
      <c r="A25" s="2">
        <v>3</v>
      </c>
      <c r="B25" s="2" t="str">
        <f t="shared" si="3"/>
        <v>Mar</v>
      </c>
      <c r="C25" s="15">
        <f>SUMPRODUCT((MONTH(Sales_Data!$B$2:$B$251)=A25)*Sales_Data!$I$2:$I$251*Sales_Data!$J$2:$J$251*(1-Sales_Data!$K$2:$K$251))</f>
        <v>96114.900000000009</v>
      </c>
      <c r="D25" s="15">
        <f>SUM($C$23:C25)</f>
        <v>378858.25</v>
      </c>
      <c r="E25" s="16">
        <f t="shared" si="4"/>
        <v>-0.38566553555460803</v>
      </c>
    </row>
    <row r="26" spans="1:5" x14ac:dyDescent="0.3">
      <c r="A26" s="2">
        <v>4</v>
      </c>
      <c r="B26" s="2" t="str">
        <f t="shared" si="3"/>
        <v>Apr</v>
      </c>
      <c r="C26" s="15">
        <f>SUMPRODUCT((MONTH(Sales_Data!$B$2:$B$251)=A26)*Sales_Data!$I$2:$I$251*Sales_Data!$J$2:$J$251*(1-Sales_Data!$K$2:$K$251))</f>
        <v>130723.00000000003</v>
      </c>
      <c r="D26" s="15">
        <f>SUM($C$23:C26)</f>
        <v>509581.25</v>
      </c>
      <c r="E26" s="16">
        <f t="shared" si="4"/>
        <v>0.3600700827863319</v>
      </c>
    </row>
    <row r="27" spans="1:5" x14ac:dyDescent="0.3">
      <c r="A27" s="2">
        <v>5</v>
      </c>
      <c r="B27" s="2" t="str">
        <f t="shared" si="3"/>
        <v>May</v>
      </c>
      <c r="C27" s="15">
        <f>SUMPRODUCT((MONTH(Sales_Data!$B$2:$B$251)=A27)*Sales_Data!$I$2:$I$251*Sales_Data!$J$2:$J$251*(1-Sales_Data!$K$2:$K$251))</f>
        <v>196118.15</v>
      </c>
      <c r="D27" s="15">
        <f>SUM($C$23:C27)</f>
        <v>705699.4</v>
      </c>
      <c r="E27" s="16">
        <f t="shared" si="4"/>
        <v>0.50025741453301986</v>
      </c>
    </row>
    <row r="28" spans="1:5" x14ac:dyDescent="0.3">
      <c r="A28" s="2">
        <v>6</v>
      </c>
      <c r="B28" s="2" t="str">
        <f t="shared" si="3"/>
        <v>Jun</v>
      </c>
      <c r="C28" s="15">
        <f>SUMPRODUCT((MONTH(Sales_Data!$B$2:$B$251)=A28)*Sales_Data!$I$2:$I$251*Sales_Data!$J$2:$J$251*(1-Sales_Data!$K$2:$K$251))</f>
        <v>125040.2</v>
      </c>
      <c r="D28" s="15">
        <f>SUM($C$23:C28)</f>
        <v>830739.6</v>
      </c>
      <c r="E28" s="16">
        <f t="shared" si="4"/>
        <v>-0.36242413055599387</v>
      </c>
    </row>
    <row r="29" spans="1:5" x14ac:dyDescent="0.3">
      <c r="A29" s="2">
        <v>7</v>
      </c>
      <c r="B29" s="2" t="str">
        <f t="shared" si="3"/>
        <v>Jul</v>
      </c>
      <c r="C29" s="15">
        <f>SUMPRODUCT((MONTH(Sales_Data!$B$2:$B$251)=A29)*Sales_Data!$I$2:$I$251*Sales_Data!$J$2:$J$251*(1-Sales_Data!$K$2:$K$251))</f>
        <v>156061.79999999999</v>
      </c>
      <c r="D29" s="15">
        <f>SUM($C$23:C29)</f>
        <v>986801.39999999991</v>
      </c>
      <c r="E29" s="16">
        <f t="shared" si="4"/>
        <v>0.24809301328692679</v>
      </c>
    </row>
    <row r="30" spans="1:5" x14ac:dyDescent="0.3">
      <c r="A30" s="2">
        <v>8</v>
      </c>
      <c r="B30" s="2" t="str">
        <f t="shared" si="3"/>
        <v>Aug</v>
      </c>
      <c r="C30" s="15">
        <f>SUMPRODUCT((MONTH(Sales_Data!$B$2:$B$251)=A30)*Sales_Data!$I$2:$I$251*Sales_Data!$J$2:$J$251*(1-Sales_Data!$K$2:$K$251))</f>
        <v>127977.45000000001</v>
      </c>
      <c r="D30" s="15">
        <f>SUM($C$23:C30)</f>
        <v>1114778.8499999999</v>
      </c>
      <c r="E30" s="16">
        <f t="shared" si="4"/>
        <v>-0.17995659411848375</v>
      </c>
    </row>
    <row r="31" spans="1:5" x14ac:dyDescent="0.3">
      <c r="A31" s="2">
        <v>9</v>
      </c>
      <c r="B31" s="2" t="str">
        <f t="shared" si="3"/>
        <v>Sep</v>
      </c>
      <c r="C31" s="15">
        <f>SUMPRODUCT((MONTH(Sales_Data!$B$2:$B$251)=A31)*Sales_Data!$I$2:$I$251*Sales_Data!$J$2:$J$251*(1-Sales_Data!$K$2:$K$251))</f>
        <v>117795.75</v>
      </c>
      <c r="D31" s="15">
        <f>SUM($C$23:C31)</f>
        <v>1232574.5999999999</v>
      </c>
      <c r="E31" s="16">
        <f t="shared" si="4"/>
        <v>-7.9558547228437582E-2</v>
      </c>
    </row>
    <row r="32" spans="1:5" x14ac:dyDescent="0.3">
      <c r="A32" s="2">
        <v>10</v>
      </c>
      <c r="B32" s="2" t="str">
        <f t="shared" si="3"/>
        <v>Oct</v>
      </c>
      <c r="C32" s="15">
        <f>SUMPRODUCT((MONTH(Sales_Data!$B$2:$B$251)=A32)*Sales_Data!$I$2:$I$251*Sales_Data!$J$2:$J$251*(1-Sales_Data!$K$2:$K$251))</f>
        <v>201285.00000000003</v>
      </c>
      <c r="D32" s="15">
        <f>SUM($C$23:C32)</f>
        <v>1433859.5999999999</v>
      </c>
      <c r="E32" s="16">
        <f t="shared" si="4"/>
        <v>0.70876283736892054</v>
      </c>
    </row>
    <row r="33" spans="1:6" x14ac:dyDescent="0.3">
      <c r="A33" s="2">
        <v>11</v>
      </c>
      <c r="B33" s="2" t="str">
        <f t="shared" si="3"/>
        <v>Nov</v>
      </c>
      <c r="C33" s="15">
        <f>SUMPRODUCT((MONTH(Sales_Data!$B$2:$B$251)=A33)*Sales_Data!$I$2:$I$251*Sales_Data!$J$2:$J$251*(1-Sales_Data!$K$2:$K$251))</f>
        <v>221801.74999999997</v>
      </c>
      <c r="D33" s="15">
        <f>SUM($C$23:C33)</f>
        <v>1655661.3499999999</v>
      </c>
      <c r="E33" s="16">
        <f t="shared" si="4"/>
        <v>0.10192885709317601</v>
      </c>
    </row>
    <row r="34" spans="1:6" x14ac:dyDescent="0.3">
      <c r="A34" s="2">
        <v>12</v>
      </c>
      <c r="B34" s="2" t="str">
        <f t="shared" si="3"/>
        <v>Dec</v>
      </c>
      <c r="C34" s="15">
        <f>SUMPRODUCT((MONTH(Sales_Data!$B$2:$B$251)=A34)*Sales_Data!$I$2:$I$251*Sales_Data!$J$2:$J$251*(1-Sales_Data!$K$2:$K$251))</f>
        <v>92635.700000000012</v>
      </c>
      <c r="D34" s="15">
        <f>SUM($C$23:C34)</f>
        <v>1748297.0499999998</v>
      </c>
      <c r="E34" s="16">
        <f t="shared" si="4"/>
        <v>-0.58234910229518011</v>
      </c>
    </row>
    <row r="35" spans="1:6" x14ac:dyDescent="0.3">
      <c r="A35" s="3" t="s">
        <v>507</v>
      </c>
      <c r="C35" s="17">
        <f>SUM(C23:C34)</f>
        <v>1748297.0499999998</v>
      </c>
    </row>
    <row r="38" spans="1:6" ht="15.6" x14ac:dyDescent="0.3">
      <c r="A38" s="1" t="s">
        <v>508</v>
      </c>
    </row>
    <row r="39" spans="1:6" x14ac:dyDescent="0.3">
      <c r="A39" s="4" t="s">
        <v>172</v>
      </c>
      <c r="B39" s="4" t="s">
        <v>217</v>
      </c>
      <c r="C39" s="4" t="s">
        <v>201</v>
      </c>
      <c r="D39" s="4" t="s">
        <v>192</v>
      </c>
      <c r="E39" s="4" t="s">
        <v>198</v>
      </c>
      <c r="F39" s="4" t="s">
        <v>507</v>
      </c>
    </row>
    <row r="40" spans="1:6" x14ac:dyDescent="0.3">
      <c r="A40" s="2" t="s">
        <v>222</v>
      </c>
      <c r="B40" s="15">
        <f>SUMPRODUCT((Sales_Data!$D$2:$D$251=$A40)*(Sales_Data!$G$2:$G$251=B$39)*Sales_Data!$I$2:$I$251*Sales_Data!$J$2:$J$251*(1-Sales_Data!$K$2:$K$251))</f>
        <v>98460.800000000003</v>
      </c>
      <c r="C40" s="15">
        <f>SUMPRODUCT((Sales_Data!$D$2:$D$251=$A40)*(Sales_Data!$G$2:$G$251=C$39)*Sales_Data!$I$2:$I$251*Sales_Data!$J$2:$J$251*(1-Sales_Data!$K$2:$K$251))</f>
        <v>155377.49999999997</v>
      </c>
      <c r="D40" s="15">
        <f>SUMPRODUCT((Sales_Data!$D$2:$D$251=$A40)*(Sales_Data!$G$2:$G$251=D$39)*Sales_Data!$I$2:$I$251*Sales_Data!$J$2:$J$251*(1-Sales_Data!$K$2:$K$251))</f>
        <v>56599.950000000004</v>
      </c>
      <c r="E40" s="15">
        <f>SUMPRODUCT((Sales_Data!$D$2:$D$251=$A40)*(Sales_Data!$G$2:$G$251=E$39)*Sales_Data!$I$2:$I$251*Sales_Data!$J$2:$J$251*(1-Sales_Data!$K$2:$K$251))</f>
        <v>58277</v>
      </c>
      <c r="F40" s="15">
        <f>SUM(B40:E40)</f>
        <v>368715.25</v>
      </c>
    </row>
    <row r="41" spans="1:6" x14ac:dyDescent="0.3">
      <c r="A41" s="2" t="s">
        <v>205</v>
      </c>
      <c r="B41" s="15">
        <f>SUMPRODUCT((Sales_Data!$D$2:$D$251=$A41)*(Sales_Data!$G$2:$G$251=B$39)*Sales_Data!$I$2:$I$251*Sales_Data!$J$2:$J$251*(1-Sales_Data!$K$2:$K$251))</f>
        <v>150654.44999999998</v>
      </c>
      <c r="C41" s="15">
        <f>SUMPRODUCT((Sales_Data!$D$2:$D$251=$A41)*(Sales_Data!$G$2:$G$251=C$39)*Sales_Data!$I$2:$I$251*Sales_Data!$J$2:$J$251*(1-Sales_Data!$K$2:$K$251))</f>
        <v>167274.59999999998</v>
      </c>
      <c r="D41" s="15">
        <f>SUMPRODUCT((Sales_Data!$D$2:$D$251=$A41)*(Sales_Data!$G$2:$G$251=D$39)*Sales_Data!$I$2:$I$251*Sales_Data!$J$2:$J$251*(1-Sales_Data!$K$2:$K$251))</f>
        <v>67573.150000000009</v>
      </c>
      <c r="E41" s="15">
        <f>SUMPRODUCT((Sales_Data!$D$2:$D$251=$A41)*(Sales_Data!$G$2:$G$251=E$39)*Sales_Data!$I$2:$I$251*Sales_Data!$J$2:$J$251*(1-Sales_Data!$K$2:$K$251))</f>
        <v>54941.55</v>
      </c>
      <c r="F41" s="15">
        <f>SUM(B41:E41)</f>
        <v>440443.74999999994</v>
      </c>
    </row>
    <row r="42" spans="1:6" x14ac:dyDescent="0.3">
      <c r="A42" s="2" t="s">
        <v>189</v>
      </c>
      <c r="B42" s="15">
        <f>SUMPRODUCT((Sales_Data!$D$2:$D$251=$A42)*(Sales_Data!$G$2:$G$251=B$39)*Sales_Data!$I$2:$I$251*Sales_Data!$J$2:$J$251*(1-Sales_Data!$K$2:$K$251))</f>
        <v>62770.100000000006</v>
      </c>
      <c r="C42" s="15">
        <f>SUMPRODUCT((Sales_Data!$D$2:$D$251=$A42)*(Sales_Data!$G$2:$G$251=C$39)*Sales_Data!$I$2:$I$251*Sales_Data!$J$2:$J$251*(1-Sales_Data!$K$2:$K$251))</f>
        <v>236589.75</v>
      </c>
      <c r="D42" s="15">
        <f>SUMPRODUCT((Sales_Data!$D$2:$D$251=$A42)*(Sales_Data!$G$2:$G$251=D$39)*Sales_Data!$I$2:$I$251*Sales_Data!$J$2:$J$251*(1-Sales_Data!$K$2:$K$251))</f>
        <v>71245.2</v>
      </c>
      <c r="E42" s="15">
        <f>SUMPRODUCT((Sales_Data!$D$2:$D$251=$A42)*(Sales_Data!$G$2:$G$251=E$39)*Sales_Data!$I$2:$I$251*Sales_Data!$J$2:$J$251*(1-Sales_Data!$K$2:$K$251))</f>
        <v>61774.15</v>
      </c>
      <c r="F42" s="15">
        <f>SUM(B42:E42)</f>
        <v>432379.2</v>
      </c>
    </row>
    <row r="43" spans="1:6" x14ac:dyDescent="0.3">
      <c r="A43" s="2" t="s">
        <v>238</v>
      </c>
      <c r="B43" s="15">
        <f>SUMPRODUCT((Sales_Data!$D$2:$D$251=$A43)*(Sales_Data!$G$2:$G$251=B$39)*Sales_Data!$I$2:$I$251*Sales_Data!$J$2:$J$251*(1-Sales_Data!$K$2:$K$251))</f>
        <v>158033.70000000001</v>
      </c>
      <c r="C43" s="15">
        <f>SUMPRODUCT((Sales_Data!$D$2:$D$251=$A43)*(Sales_Data!$G$2:$G$251=C$39)*Sales_Data!$I$2:$I$251*Sales_Data!$J$2:$J$251*(1-Sales_Data!$K$2:$K$251))</f>
        <v>211945.49999999997</v>
      </c>
      <c r="D43" s="15">
        <f>SUMPRODUCT((Sales_Data!$D$2:$D$251=$A43)*(Sales_Data!$G$2:$G$251=D$39)*Sales_Data!$I$2:$I$251*Sales_Data!$J$2:$J$251*(1-Sales_Data!$K$2:$K$251))</f>
        <v>65183.65</v>
      </c>
      <c r="E43" s="15">
        <f>SUMPRODUCT((Sales_Data!$D$2:$D$251=$A43)*(Sales_Data!$G$2:$G$251=E$39)*Sales_Data!$I$2:$I$251*Sales_Data!$J$2:$J$251*(1-Sales_Data!$K$2:$K$251))</f>
        <v>71596</v>
      </c>
      <c r="F43" s="15">
        <f>SUM(B43:E43)</f>
        <v>506758.85</v>
      </c>
    </row>
    <row r="44" spans="1:6" x14ac:dyDescent="0.3">
      <c r="A44" s="3" t="s">
        <v>507</v>
      </c>
      <c r="B44" s="17">
        <f>SUM(B40:B43)</f>
        <v>469919.05</v>
      </c>
      <c r="C44" s="17">
        <f>SUM(C40:C43)</f>
        <v>771187.35</v>
      </c>
      <c r="D44" s="17">
        <f>SUM(D40:D43)</f>
        <v>260601.94999999998</v>
      </c>
      <c r="E44" s="17">
        <f>SUM(E40:E43)</f>
        <v>246588.7</v>
      </c>
      <c r="F44" s="17">
        <f>SUM(F40:F43)</f>
        <v>1748297.0499999998</v>
      </c>
    </row>
    <row r="47" spans="1:6" x14ac:dyDescent="0.3">
      <c r="A47" s="3" t="s">
        <v>509</v>
      </c>
      <c r="B47" s="18">
        <f>B44/$F$44</f>
        <v>0.26878673163693778</v>
      </c>
      <c r="C47" s="18">
        <f>C44/$F$44</f>
        <v>0.44110773395173325</v>
      </c>
      <c r="D47" s="18">
        <f>D44/$F$44</f>
        <v>0.14906045285610933</v>
      </c>
      <c r="E47" s="18">
        <f>E44/$F$44</f>
        <v>0.14104508155521972</v>
      </c>
    </row>
    <row r="50" spans="1:5" ht="15.6" x14ac:dyDescent="0.3">
      <c r="A50" s="1" t="s">
        <v>510</v>
      </c>
    </row>
    <row r="51" spans="1:5" x14ac:dyDescent="0.3">
      <c r="A51" s="4" t="s">
        <v>175</v>
      </c>
      <c r="B51" s="4" t="s">
        <v>511</v>
      </c>
      <c r="C51" s="4" t="s">
        <v>219</v>
      </c>
      <c r="D51" s="4" t="s">
        <v>512</v>
      </c>
    </row>
    <row r="52" spans="1:5" x14ac:dyDescent="0.3">
      <c r="A52" s="2" t="s">
        <v>217</v>
      </c>
      <c r="B52" s="2">
        <f>COUNTIF(Sales_Data!$G$2:$G$251,A52)</f>
        <v>84</v>
      </c>
      <c r="C52" s="2">
        <f>COUNTIFS(Sales_Data!$G$2:$G$251,A52,Sales_Data!$M$2:$M$251,"Returned")</f>
        <v>5</v>
      </c>
      <c r="D52" s="16">
        <f>C52/B52</f>
        <v>5.9523809523809521E-2</v>
      </c>
    </row>
    <row r="53" spans="1:5" x14ac:dyDescent="0.3">
      <c r="A53" s="2" t="s">
        <v>201</v>
      </c>
      <c r="B53" s="2">
        <f>COUNTIF(Sales_Data!$G$2:$G$251,A53)</f>
        <v>55</v>
      </c>
      <c r="C53" s="2">
        <f>COUNTIFS(Sales_Data!$G$2:$G$251,A53,Sales_Data!$M$2:$M$251,"Returned")</f>
        <v>1</v>
      </c>
      <c r="D53" s="16">
        <f>C53/B53</f>
        <v>1.8181818181818181E-2</v>
      </c>
    </row>
    <row r="54" spans="1:5" x14ac:dyDescent="0.3">
      <c r="A54" s="2" t="s">
        <v>192</v>
      </c>
      <c r="B54" s="2">
        <f>COUNTIF(Sales_Data!$G$2:$G$251,A54)</f>
        <v>59</v>
      </c>
      <c r="C54" s="2">
        <f>COUNTIFS(Sales_Data!$G$2:$G$251,A54,Sales_Data!$M$2:$M$251,"Returned")</f>
        <v>7</v>
      </c>
      <c r="D54" s="16">
        <f>C54/B54</f>
        <v>0.11864406779661017</v>
      </c>
    </row>
    <row r="55" spans="1:5" x14ac:dyDescent="0.3">
      <c r="A55" s="2" t="s">
        <v>198</v>
      </c>
      <c r="B55" s="2">
        <f>COUNTIF(Sales_Data!$G$2:$G$251,A55)</f>
        <v>52</v>
      </c>
      <c r="C55" s="2">
        <f>COUNTIFS(Sales_Data!$G$2:$G$251,A55,Sales_Data!$M$2:$M$251,"Returned")</f>
        <v>2</v>
      </c>
      <c r="D55" s="16">
        <f>C55/B55</f>
        <v>3.8461538461538464E-2</v>
      </c>
    </row>
    <row r="58" spans="1:5" ht="15.6" x14ac:dyDescent="0.3">
      <c r="A58" s="1" t="s">
        <v>513</v>
      </c>
    </row>
    <row r="59" spans="1:5" x14ac:dyDescent="0.3">
      <c r="A59" s="4" t="s">
        <v>514</v>
      </c>
      <c r="B59" s="4" t="s">
        <v>515</v>
      </c>
      <c r="C59" s="4" t="s">
        <v>516</v>
      </c>
      <c r="D59" s="4" t="s">
        <v>173</v>
      </c>
      <c r="E59" s="4" t="s">
        <v>517</v>
      </c>
    </row>
    <row r="60" spans="1:5" x14ac:dyDescent="0.3">
      <c r="A60" s="2" t="str">
        <f>PROPER(TRIM(Messy_Data!A2))</f>
        <v>Riya Sharma</v>
      </c>
      <c r="B60" s="2" t="str">
        <f t="shared" ref="B60:B71" si="5">LEFT(A60,FIND(" ",A60)-1)</f>
        <v>Riya</v>
      </c>
      <c r="C60" s="2" t="str">
        <f>RIGHT(SUBSTITUTE(SUBSTITUTE(SUBSTITUTE(TRIM(Messy_Data!B2)," ",""),"-",""),"+",""),10)</f>
        <v>9876543210</v>
      </c>
      <c r="D60" s="2" t="str">
        <f>PROPER(TRIM(Messy_Data!C2))</f>
        <v>Mumbai</v>
      </c>
      <c r="E60" s="11">
        <f>VALUE(SUBSTITUTE(SUBSTITUTE(SUBSTITUTE(SUBSTITUTE(Messy_Data!D2,"₹",""),"Rs.","")," ",""),",",""))</f>
        <v>1250</v>
      </c>
    </row>
    <row r="61" spans="1:5" x14ac:dyDescent="0.3">
      <c r="A61" s="2" t="str">
        <f>PROPER(TRIM(Messy_Data!A3))</f>
        <v>Amit Verma</v>
      </c>
      <c r="B61" s="2" t="str">
        <f t="shared" si="5"/>
        <v>Amit</v>
      </c>
      <c r="C61" s="2" t="str">
        <f>RIGHT(SUBSTITUTE(SUBSTITUTE(SUBSTITUTE(TRIM(Messy_Data!B3)," ",""),"-",""),"+",""),10)</f>
        <v>9876543211</v>
      </c>
      <c r="D61" s="2" t="str">
        <f>PROPER(TRIM(Messy_Data!C3))</f>
        <v>Mumbai</v>
      </c>
      <c r="E61" s="11">
        <f>VALUE(SUBSTITUTE(SUBSTITUTE(SUBSTITUTE(SUBSTITUTE(Messy_Data!D3,"₹",""),"Rs.","")," ",""),",",""))</f>
        <v>2999</v>
      </c>
    </row>
    <row r="62" spans="1:5" x14ac:dyDescent="0.3">
      <c r="A62" s="2" t="str">
        <f>PROPER(TRIM(Messy_Data!A4))</f>
        <v>Priya Nair</v>
      </c>
      <c r="B62" s="2" t="str">
        <f t="shared" si="5"/>
        <v>Priya</v>
      </c>
      <c r="C62" s="2" t="str">
        <f>RIGHT(SUBSTITUTE(SUBSTITUTE(SUBSTITUTE(TRIM(Messy_Data!B4)," ",""),"-",""),"+",""),10)</f>
        <v>9876543212</v>
      </c>
      <c r="D62" s="2" t="str">
        <f>PROPER(TRIM(Messy_Data!C4))</f>
        <v>Pune</v>
      </c>
      <c r="E62" s="11">
        <f>VALUE(SUBSTITUTE(SUBSTITUTE(SUBSTITUTE(SUBSTITUTE(Messy_Data!D4,"₹",""),"Rs.","")," ",""),",",""))</f>
        <v>850</v>
      </c>
    </row>
    <row r="63" spans="1:5" x14ac:dyDescent="0.3">
      <c r="A63" s="2" t="str">
        <f>PROPER(TRIM(Messy_Data!A5))</f>
        <v>Riya Sharma</v>
      </c>
      <c r="B63" s="2" t="str">
        <f t="shared" si="5"/>
        <v>Riya</v>
      </c>
      <c r="C63" s="2" t="str">
        <f>RIGHT(SUBSTITUTE(SUBSTITUTE(SUBSTITUTE(TRIM(Messy_Data!B5)," ",""),"-",""),"+",""),10)</f>
        <v>9876543210</v>
      </c>
      <c r="D63" s="2" t="str">
        <f>PROPER(TRIM(Messy_Data!C5))</f>
        <v>Pune</v>
      </c>
      <c r="E63" s="11">
        <f>VALUE(SUBSTITUTE(SUBSTITUTE(SUBSTITUTE(SUBSTITUTE(Messy_Data!D5,"₹",""),"Rs.","")," ",""),",",""))</f>
        <v>1499</v>
      </c>
    </row>
    <row r="64" spans="1:5" x14ac:dyDescent="0.3">
      <c r="A64" s="2" t="str">
        <f>PROPER(TRIM(Messy_Data!A6))</f>
        <v>Karan Mehta</v>
      </c>
      <c r="B64" s="2" t="str">
        <f t="shared" si="5"/>
        <v>Karan</v>
      </c>
      <c r="C64" s="2" t="str">
        <f>RIGHT(SUBSTITUTE(SUBSTITUTE(SUBSTITUTE(TRIM(Messy_Data!B6)," ",""),"-",""),"+",""),10)</f>
        <v>9876543213</v>
      </c>
      <c r="D64" s="2" t="str">
        <f>PROPER(TRIM(Messy_Data!C6))</f>
        <v>Delhi</v>
      </c>
      <c r="E64" s="11">
        <f>VALUE(SUBSTITUTE(SUBSTITUTE(SUBSTITUTE(SUBSTITUTE(Messy_Data!D6,"₹",""),"Rs.","")," ",""),",",""))</f>
        <v>3450</v>
      </c>
    </row>
    <row r="65" spans="1:5" x14ac:dyDescent="0.3">
      <c r="A65" s="2" t="str">
        <f>PROPER(TRIM(Messy_Data!A7))</f>
        <v>Sneha Iyer</v>
      </c>
      <c r="B65" s="2" t="str">
        <f t="shared" si="5"/>
        <v>Sneha</v>
      </c>
      <c r="C65" s="2" t="str">
        <f>RIGHT(SUBSTITUTE(SUBSTITUTE(SUBSTITUTE(TRIM(Messy_Data!B7)," ",""),"-",""),"+",""),10)</f>
        <v>9876543214</v>
      </c>
      <c r="D65" s="2" t="str">
        <f>PROPER(TRIM(Messy_Data!C7))</f>
        <v>Delhi</v>
      </c>
      <c r="E65" s="11">
        <f>VALUE(SUBSTITUTE(SUBSTITUTE(SUBSTITUTE(SUBSTITUTE(Messy_Data!D7,"₹",""),"Rs.","")," ",""),",",""))</f>
        <v>599</v>
      </c>
    </row>
    <row r="66" spans="1:5" x14ac:dyDescent="0.3">
      <c r="A66" s="2" t="str">
        <f>PROPER(TRIM(Messy_Data!A8))</f>
        <v>Amit Verma</v>
      </c>
      <c r="B66" s="2" t="str">
        <f t="shared" si="5"/>
        <v>Amit</v>
      </c>
      <c r="C66" s="2" t="str">
        <f>RIGHT(SUBSTITUTE(SUBSTITUTE(SUBSTITUTE(TRIM(Messy_Data!B8)," ",""),"-",""),"+",""),10)</f>
        <v>9876543211</v>
      </c>
      <c r="D66" s="2" t="str">
        <f>PROPER(TRIM(Messy_Data!C8))</f>
        <v>Lucknow</v>
      </c>
      <c r="E66" s="11">
        <f>VALUE(SUBSTITUTE(SUBSTITUTE(SUBSTITUTE(SUBSTITUTE(Messy_Data!D8,"₹",""),"Rs.","")," ",""),",",""))</f>
        <v>1250</v>
      </c>
    </row>
    <row r="67" spans="1:5" x14ac:dyDescent="0.3">
      <c r="A67" s="2" t="str">
        <f>PROPER(TRIM(Messy_Data!A9))</f>
        <v>Rahul Das</v>
      </c>
      <c r="B67" s="2" t="str">
        <f t="shared" si="5"/>
        <v>Rahul</v>
      </c>
      <c r="C67" s="2" t="str">
        <f>RIGHT(SUBSTITUTE(SUBSTITUTE(SUBSTITUTE(TRIM(Messy_Data!B9)," ",""),"-",""),"+",""),10)</f>
        <v>9876543215</v>
      </c>
      <c r="D67" s="2" t="str">
        <f>PROPER(TRIM(Messy_Data!C9))</f>
        <v>Lucknow</v>
      </c>
      <c r="E67" s="11">
        <f>VALUE(SUBSTITUTE(SUBSTITUTE(SUBSTITUTE(SUBSTITUTE(Messy_Data!D9,"₹",""),"Rs.","")," ",""),",",""))</f>
        <v>2100</v>
      </c>
    </row>
    <row r="68" spans="1:5" x14ac:dyDescent="0.3">
      <c r="A68" s="2" t="str">
        <f>PROPER(TRIM(Messy_Data!A10))</f>
        <v>Neha Joshi</v>
      </c>
      <c r="B68" s="2" t="str">
        <f t="shared" si="5"/>
        <v>Neha</v>
      </c>
      <c r="C68" s="2" t="str">
        <f>RIGHT(SUBSTITUTE(SUBSTITUTE(SUBSTITUTE(TRIM(Messy_Data!B10)," ",""),"-",""),"+",""),10)</f>
        <v>9876543216</v>
      </c>
      <c r="D68" s="2" t="str">
        <f>PROPER(TRIM(Messy_Data!C10))</f>
        <v>Mumbai</v>
      </c>
      <c r="E68" s="11">
        <f>VALUE(SUBSTITUTE(SUBSTITUTE(SUBSTITUTE(SUBSTITUTE(Messy_Data!D10,"₹",""),"Rs.","")," ",""),",",""))</f>
        <v>799</v>
      </c>
    </row>
    <row r="69" spans="1:5" x14ac:dyDescent="0.3">
      <c r="A69" s="2" t="str">
        <f>PROPER(TRIM(Messy_Data!A11))</f>
        <v>Karan Mehta</v>
      </c>
      <c r="B69" s="2" t="str">
        <f t="shared" si="5"/>
        <v>Karan</v>
      </c>
      <c r="C69" s="2" t="str">
        <f>RIGHT(SUBSTITUTE(SUBSTITUTE(SUBSTITUTE(TRIM(Messy_Data!B11)," ",""),"-",""),"+",""),10)</f>
        <v>9876543213</v>
      </c>
      <c r="D69" s="2" t="str">
        <f>PROPER(TRIM(Messy_Data!C11))</f>
        <v>Delhi</v>
      </c>
      <c r="E69" s="11">
        <f>VALUE(SUBSTITUTE(SUBSTITUTE(SUBSTITUTE(SUBSTITUTE(Messy_Data!D11,"₹",""),"Rs.","")," ",""),",",""))</f>
        <v>1999</v>
      </c>
    </row>
    <row r="70" spans="1:5" x14ac:dyDescent="0.3">
      <c r="A70" s="2" t="str">
        <f>PROPER(TRIM(Messy_Data!A12))</f>
        <v>Vikram Shah</v>
      </c>
      <c r="B70" s="2" t="str">
        <f t="shared" si="5"/>
        <v>Vikram</v>
      </c>
      <c r="C70" s="2" t="str">
        <f>RIGHT(SUBSTITUTE(SUBSTITUTE(SUBSTITUTE(TRIM(Messy_Data!B12)," ",""),"-",""),"+",""),10)</f>
        <v>9876543217</v>
      </c>
      <c r="D70" s="2" t="str">
        <f>PROPER(TRIM(Messy_Data!C12))</f>
        <v>Pune</v>
      </c>
      <c r="E70" s="11">
        <f>VALUE(SUBSTITUTE(SUBSTITUTE(SUBSTITUTE(SUBSTITUTE(Messy_Data!D12,"₹",""),"Rs.","")," ",""),",",""))</f>
        <v>4200</v>
      </c>
    </row>
    <row r="71" spans="1:5" x14ac:dyDescent="0.3">
      <c r="A71" s="2" t="str">
        <f>PROPER(TRIM(Messy_Data!A13))</f>
        <v>Ananya Sen</v>
      </c>
      <c r="B71" s="2" t="str">
        <f t="shared" si="5"/>
        <v>Ananya</v>
      </c>
      <c r="C71" s="2" t="str">
        <f>RIGHT(SUBSTITUTE(SUBSTITUTE(SUBSTITUTE(TRIM(Messy_Data!B13)," ",""),"-",""),"+",""),10)</f>
        <v>9876543218</v>
      </c>
      <c r="D71" s="2" t="str">
        <f>PROPER(TRIM(Messy_Data!C13))</f>
        <v>Delhi</v>
      </c>
      <c r="E71" s="11">
        <f>VALUE(SUBSTITUTE(SUBSTITUTE(SUBSTITUTE(SUBSTITUTE(Messy_Data!D13,"₹",""),"Rs.","")," ",""),",",""))</f>
        <v>649</v>
      </c>
    </row>
    <row r="73" spans="1:5" x14ac:dyDescent="0.3">
      <c r="A73" s="3" t="s">
        <v>518</v>
      </c>
      <c r="B73" s="3" cm="1">
        <f t="array" ref="B73">SUMPRODUCT(1/COUNTIF(A60:A71,A60:A71))</f>
        <v>9</v>
      </c>
    </row>
    <row r="74" spans="1:5" x14ac:dyDescent="0.3">
      <c r="A74" s="3" t="s">
        <v>519</v>
      </c>
      <c r="E74" s="19">
        <f>SUM(E60:E71)</f>
        <v>21644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9"/>
  <sheetViews>
    <sheetView zoomScaleNormal="100" workbookViewId="0">
      <pane ySplit="1" topLeftCell="A23" activePane="bottomLeft" state="frozen"/>
      <selection pane="bottomLeft" activeCell="C24" sqref="C24"/>
    </sheetView>
  </sheetViews>
  <sheetFormatPr defaultColWidth="8.6640625" defaultRowHeight="14.4" x14ac:dyDescent="0.3"/>
  <cols>
    <col min="1" max="1" width="6" customWidth="1"/>
    <col min="2" max="2" width="34" customWidth="1"/>
    <col min="3" max="3" width="18" customWidth="1"/>
    <col min="4" max="4" width="70" customWidth="1"/>
    <col min="5" max="5" width="50" customWidth="1"/>
  </cols>
  <sheetData>
    <row r="1" spans="1:5" x14ac:dyDescent="0.3">
      <c r="A1" s="4" t="s">
        <v>11</v>
      </c>
      <c r="B1" s="4" t="s">
        <v>520</v>
      </c>
      <c r="C1" s="4" t="s">
        <v>521</v>
      </c>
      <c r="D1" s="4" t="s">
        <v>522</v>
      </c>
      <c r="E1" s="4" t="s">
        <v>523</v>
      </c>
    </row>
    <row r="2" spans="1:5" ht="26.4" x14ac:dyDescent="0.3">
      <c r="A2" s="5" t="s">
        <v>17</v>
      </c>
      <c r="B2" s="5" t="s">
        <v>524</v>
      </c>
      <c r="C2" s="20">
        <f>SUMPRODUCT(Sales_Data!$I$2:$I$251*Sales_Data!$J$2:$J$251*(1-Sales_Data!$K$2:$K$251))</f>
        <v>1748297.0500000007</v>
      </c>
      <c r="D2" s="5" t="s">
        <v>525</v>
      </c>
      <c r="E2" s="5" t="s">
        <v>526</v>
      </c>
    </row>
    <row r="3" spans="1:5" x14ac:dyDescent="0.3">
      <c r="A3" s="5" t="s">
        <v>527</v>
      </c>
      <c r="B3" s="5" t="s">
        <v>528</v>
      </c>
      <c r="C3" s="21">
        <f>COUNTA(Sales_Data!$A$2:$A$251)</f>
        <v>250</v>
      </c>
      <c r="D3" s="5" t="s">
        <v>529</v>
      </c>
      <c r="E3" s="5"/>
    </row>
    <row r="4" spans="1:5" x14ac:dyDescent="0.3">
      <c r="A4" s="5" t="s">
        <v>530</v>
      </c>
      <c r="B4" s="5" t="s">
        <v>531</v>
      </c>
      <c r="C4" s="22">
        <f>SUM(Sales_Data!$I$2:$I$251)</f>
        <v>1357</v>
      </c>
      <c r="D4" s="5" t="s">
        <v>532</v>
      </c>
      <c r="E4" s="5"/>
    </row>
    <row r="5" spans="1:5" ht="26.4" x14ac:dyDescent="0.3">
      <c r="A5" s="5" t="s">
        <v>533</v>
      </c>
      <c r="B5" s="5" t="s">
        <v>534</v>
      </c>
      <c r="C5" s="20">
        <f>SUMPRODUCT(Sales_Data!$I$2:$I$251*Sales_Data!$J$2:$J$251*(1-Sales_Data!$K$2:$K$251))/COUNTA(Sales_Data!$A$2:$A$251)</f>
        <v>6993.1882000000032</v>
      </c>
      <c r="D5" s="5" t="s">
        <v>535</v>
      </c>
      <c r="E5" s="5" t="s">
        <v>536</v>
      </c>
    </row>
    <row r="6" spans="1:5" ht="26.4" x14ac:dyDescent="0.3">
      <c r="A6" s="5" t="s">
        <v>537</v>
      </c>
      <c r="B6" s="5" t="s">
        <v>538</v>
      </c>
      <c r="C6" s="20">
        <f>SUMPRODUCT(MAX(Sales_Data!$I$2:$I$251*Sales_Data!$J$2:$J$251*(1-Sales_Data!$K$2:$K$251)))</f>
        <v>25497</v>
      </c>
      <c r="D6" s="5" t="s">
        <v>539</v>
      </c>
      <c r="E6" s="5" t="s">
        <v>540</v>
      </c>
    </row>
    <row r="7" spans="1:5" ht="26.4" x14ac:dyDescent="0.3">
      <c r="A7" s="5" t="s">
        <v>541</v>
      </c>
      <c r="B7" s="5" t="s">
        <v>542</v>
      </c>
      <c r="C7" s="20">
        <f>SUMPRODUCT(MIN(Sales_Data!$I$2:$I$251*Sales_Data!$J$2:$J$251*(1-Sales_Data!$K$2:$K$251)))</f>
        <v>719.1</v>
      </c>
      <c r="D7" s="5" t="s">
        <v>543</v>
      </c>
      <c r="E7" s="5" t="s">
        <v>544</v>
      </c>
    </row>
    <row r="8" spans="1:5" x14ac:dyDescent="0.3">
      <c r="A8" s="5" t="s">
        <v>545</v>
      </c>
      <c r="B8" s="5" t="s">
        <v>546</v>
      </c>
      <c r="C8" s="21">
        <f>COUNTIF(Sales_Data!$M$2:$M$251,"Delivered")</f>
        <v>217</v>
      </c>
      <c r="D8" s="5" t="s">
        <v>547</v>
      </c>
      <c r="E8" s="5"/>
    </row>
    <row r="9" spans="1:5" x14ac:dyDescent="0.3">
      <c r="A9" s="5" t="s">
        <v>548</v>
      </c>
      <c r="B9" s="5" t="s">
        <v>549</v>
      </c>
      <c r="C9" s="21">
        <f>COUNTIF(Sales_Data!$M$2:$M$251,"Returned")</f>
        <v>15</v>
      </c>
      <c r="D9" s="5" t="s">
        <v>550</v>
      </c>
      <c r="E9" s="5"/>
    </row>
    <row r="10" spans="1:5" x14ac:dyDescent="0.3">
      <c r="A10" s="5" t="s">
        <v>551</v>
      </c>
      <c r="B10" s="5" t="s">
        <v>552</v>
      </c>
      <c r="C10" s="21">
        <f>COUNTIF(Sales_Data!$M$2:$M$251,"Cancelled")</f>
        <v>18</v>
      </c>
      <c r="D10" s="5" t="s">
        <v>553</v>
      </c>
      <c r="E10" s="5"/>
    </row>
    <row r="11" spans="1:5" ht="26.4" x14ac:dyDescent="0.3">
      <c r="A11" s="5" t="s">
        <v>554</v>
      </c>
      <c r="B11" s="5" t="s">
        <v>555</v>
      </c>
      <c r="C11" s="20">
        <f>SUMPRODUCT((Sales_Data!$D$2:$D$251="West")*Sales_Data!$I$2:$I$251*Sales_Data!$J$2:$J$251*(1-Sales_Data!$K$2:$K$251))</f>
        <v>506758.85000000003</v>
      </c>
      <c r="D11" s="5" t="s">
        <v>556</v>
      </c>
      <c r="E11" s="5" t="s">
        <v>557</v>
      </c>
    </row>
    <row r="12" spans="1:5" ht="26.4" x14ac:dyDescent="0.3">
      <c r="A12" s="5" t="s">
        <v>558</v>
      </c>
      <c r="B12" s="5" t="s">
        <v>559</v>
      </c>
      <c r="C12" s="20">
        <f>SUMPRODUCT((Sales_Data!$M$2:$M$251="Delivered")*Sales_Data!$I$2:$I$251*Sales_Data!$J$2:$J$251*(1-Sales_Data!$K$2:$K$251))</f>
        <v>1526078.8500000003</v>
      </c>
      <c r="D12" s="5" t="s">
        <v>560</v>
      </c>
      <c r="E12" s="5" t="s">
        <v>561</v>
      </c>
    </row>
    <row r="13" spans="1:5" x14ac:dyDescent="0.3">
      <c r="A13" s="5" t="s">
        <v>43</v>
      </c>
      <c r="B13" s="5" t="s">
        <v>562</v>
      </c>
      <c r="C13" s="21">
        <f>SUMPRODUCT(--(MONTH(Sales_Data!$B$2:$B$251)=3))</f>
        <v>15</v>
      </c>
      <c r="D13" s="5" t="s">
        <v>563</v>
      </c>
      <c r="E13" s="5" t="s">
        <v>564</v>
      </c>
    </row>
    <row r="14" spans="1:5" ht="26.4" x14ac:dyDescent="0.3">
      <c r="A14" s="5" t="s">
        <v>48</v>
      </c>
      <c r="B14" s="5" t="s">
        <v>565</v>
      </c>
      <c r="C14" s="21">
        <f>SUMPRODUCT(--(Sales_Data!$I$2:$I$251*Sales_Data!$J$2:$J$251*(1-Sales_Data!$K$2:$K$251)&gt;15000))</f>
        <v>24</v>
      </c>
      <c r="D14" s="5" t="s">
        <v>566</v>
      </c>
      <c r="E14" s="5" t="s">
        <v>567</v>
      </c>
    </row>
    <row r="15" spans="1:5" ht="39.6" x14ac:dyDescent="0.3">
      <c r="A15" s="5" t="s">
        <v>53</v>
      </c>
      <c r="B15" s="5" t="s">
        <v>568</v>
      </c>
      <c r="C15" s="20">
        <f>SUMPRODUCT((Sales_Data!$G$2:$G$251="Electronics")*(Sales_Data!$D$2:$D$251="North")*(Sales_Data!$M$2:$M$251="Delivered")*Sales_Data!$I$2:$I$251*Sales_Data!$J$2:$J$251*(1-Sales_Data!$K$2:$K$251))</f>
        <v>98460.800000000003</v>
      </c>
      <c r="D15" s="5" t="s">
        <v>569</v>
      </c>
      <c r="E15" s="5" t="s">
        <v>570</v>
      </c>
    </row>
    <row r="16" spans="1:5" x14ac:dyDescent="0.3">
      <c r="A16" s="5" t="s">
        <v>571</v>
      </c>
      <c r="B16" s="5" t="s">
        <v>572</v>
      </c>
      <c r="C16" s="23">
        <f>AVERAGEIF(Sales_Data!$L$2:$L$251,"UPI",Sales_Data!$K$2:$K$251)</f>
        <v>8.9204545454545439E-2</v>
      </c>
      <c r="D16" s="5" t="s">
        <v>573</v>
      </c>
      <c r="E16" s="5"/>
    </row>
    <row r="17" spans="1:5" x14ac:dyDescent="0.3">
      <c r="A17" s="5" t="s">
        <v>574</v>
      </c>
      <c r="B17" s="5" t="s">
        <v>575</v>
      </c>
      <c r="C17" s="23">
        <f>AVERAGEIF(Sales_Data!$L$2:$L$251,"COD",Sales_Data!$K$2:$K$251)</f>
        <v>8.2954545454545447E-2</v>
      </c>
      <c r="D17" s="5" t="s">
        <v>576</v>
      </c>
      <c r="E17" s="5"/>
    </row>
    <row r="18" spans="1:5" ht="39.6" x14ac:dyDescent="0.3">
      <c r="A18" s="5" t="s">
        <v>64</v>
      </c>
      <c r="B18" s="5" t="s">
        <v>577</v>
      </c>
      <c r="C18" s="24" t="str">
        <f>INDEX(Sales_Data!$A$2:$A$251,SUMPRODUCT(MAX((Sales_Data!$I$2:$I$251*Sales_Data!$J$2:$J$251*(1-Sales_Data!$K$2:$K$251)=C6)*(ROW(Sales_Data!$A$2:$A$251)-1))))</f>
        <v>ORD1222</v>
      </c>
      <c r="D18" s="5" t="s">
        <v>578</v>
      </c>
      <c r="E18" s="5" t="s">
        <v>579</v>
      </c>
    </row>
    <row r="19" spans="1:5" ht="52.8" x14ac:dyDescent="0.3">
      <c r="A19" s="5" t="s">
        <v>69</v>
      </c>
      <c r="B19" s="5" t="s">
        <v>580</v>
      </c>
      <c r="C19" s="20">
        <f>SUMPRODUCT(Sales_Data!$I$2:$I$251*Sales_Data!$J$2:$J$251*(1-Sales_Data!$K$2:$K$251))-SUMPRODUCT(Sales_Data!$I$2:$I$251*SUMIF(Product_Master!$A$2:$A$13,Sales_Data!$H$2:$H$251,Product_Master!$D$2:$D$13))</f>
        <v>647597.05000000075</v>
      </c>
      <c r="D19" s="5" t="s">
        <v>581</v>
      </c>
      <c r="E19" s="5" t="s">
        <v>582</v>
      </c>
    </row>
    <row r="20" spans="1:5" x14ac:dyDescent="0.3">
      <c r="A20" s="5" t="s">
        <v>74</v>
      </c>
      <c r="B20" s="5" t="s">
        <v>583</v>
      </c>
      <c r="C20" s="21">
        <f>COUNTIFS(Sales_Data!$K$2:$K$251,"&gt;=0.1",Sales_Data!$I$2:$I$251,"&gt;5")</f>
        <v>36</v>
      </c>
      <c r="D20" s="5" t="s">
        <v>584</v>
      </c>
      <c r="E20" s="5"/>
    </row>
    <row r="21" spans="1:5" ht="26.4" x14ac:dyDescent="0.3">
      <c r="A21" s="5" t="s">
        <v>79</v>
      </c>
      <c r="B21" s="5" t="s">
        <v>585</v>
      </c>
      <c r="C21" s="25">
        <f>COUNTIFS(Sales_Data!$G$2:$G$251,"Clothing",Sales_Data!$M$2:$M$251,"Returned")/COUNTIF(Sales_Data!$G$2:$G$251,"Clothing")</f>
        <v>3.8461538461538464E-2</v>
      </c>
      <c r="D21" s="5" t="s">
        <v>586</v>
      </c>
      <c r="E21" s="5" t="s">
        <v>587</v>
      </c>
    </row>
    <row r="22" spans="1:5" x14ac:dyDescent="0.3">
      <c r="A22" s="5" t="s">
        <v>84</v>
      </c>
      <c r="B22" s="5" t="s">
        <v>588</v>
      </c>
      <c r="C22" s="21">
        <f>SUMPRODUCT(--(WEEKDAY(Sales_Data!$B$2:$B$251,2)&gt;5))</f>
        <v>83</v>
      </c>
      <c r="D22" s="5" t="s">
        <v>589</v>
      </c>
      <c r="E22" s="5"/>
    </row>
    <row r="23" spans="1:5" ht="52.8" x14ac:dyDescent="0.3">
      <c r="A23" s="5" t="s">
        <v>89</v>
      </c>
      <c r="B23" s="5" t="s">
        <v>590</v>
      </c>
      <c r="C23" s="26">
        <f>SUMPRODUCT((Sales_Data!$D$2:$D$251="West")*(Sales_Data!$C$2:$C$251&lt;&gt;"")*(Sales_Data!$C$2:$C$251-Sales_Data!$B$2:$B$251))/SUMPRODUCT((Sales_Data!$D$2:$D$251="West")*(Sales_Data!$C$2:$C$251&lt;&gt;""))</f>
        <v>5.9666666666666668</v>
      </c>
      <c r="D23" s="5" t="s">
        <v>591</v>
      </c>
      <c r="E23" s="5" t="s">
        <v>592</v>
      </c>
    </row>
    <row r="24" spans="1:5" x14ac:dyDescent="0.3">
      <c r="A24" s="5" t="s">
        <v>94</v>
      </c>
      <c r="B24" s="5" t="s">
        <v>593</v>
      </c>
      <c r="C24" s="21">
        <f>COUNTIF(Answer_Tables!F3:F10,"Target Met")</f>
        <v>4</v>
      </c>
      <c r="D24" s="5" t="s">
        <v>594</v>
      </c>
      <c r="E24" s="5" t="s">
        <v>595</v>
      </c>
    </row>
    <row r="25" spans="1:5" x14ac:dyDescent="0.3">
      <c r="A25" s="5" t="s">
        <v>99</v>
      </c>
      <c r="B25" s="5" t="s">
        <v>500</v>
      </c>
      <c r="C25" s="24" t="str">
        <f>Answer_Tables!B12</f>
        <v>Vikram Shah</v>
      </c>
      <c r="D25" s="5" t="s">
        <v>596</v>
      </c>
      <c r="E25" s="5" t="s">
        <v>597</v>
      </c>
    </row>
    <row r="26" spans="1:5" ht="26.4" x14ac:dyDescent="0.3">
      <c r="A26" s="5" t="s">
        <v>103</v>
      </c>
      <c r="B26" s="5" t="s">
        <v>598</v>
      </c>
      <c r="C26" s="24" t="str">
        <f>INDEX(Answer_Tables!B23:B34,MATCH(MAX(Answer_Tables!C23:C34),Answer_Tables!C23:C34,0))</f>
        <v>Nov</v>
      </c>
      <c r="D26" s="5" t="s">
        <v>599</v>
      </c>
      <c r="E26" s="5" t="s">
        <v>600</v>
      </c>
    </row>
    <row r="27" spans="1:5" x14ac:dyDescent="0.3">
      <c r="A27" s="5" t="s">
        <v>109</v>
      </c>
      <c r="B27" s="5" t="s">
        <v>601</v>
      </c>
      <c r="C27" s="20">
        <f>Answer_Tables!F44</f>
        <v>1748297.0499999998</v>
      </c>
      <c r="D27" s="5" t="s">
        <v>602</v>
      </c>
      <c r="E27" s="5" t="s">
        <v>603</v>
      </c>
    </row>
    <row r="28" spans="1:5" x14ac:dyDescent="0.3">
      <c r="A28" s="5" t="s">
        <v>114</v>
      </c>
      <c r="B28" s="5" t="s">
        <v>604</v>
      </c>
      <c r="C28" s="25">
        <f>Answer_Tables!B47</f>
        <v>0.26878673163693778</v>
      </c>
      <c r="D28" s="5" t="s">
        <v>605</v>
      </c>
      <c r="E28" s="5" t="s">
        <v>606</v>
      </c>
    </row>
    <row r="29" spans="1:5" x14ac:dyDescent="0.3">
      <c r="A29" s="5" t="s">
        <v>119</v>
      </c>
      <c r="B29" s="5" t="s">
        <v>607</v>
      </c>
      <c r="C29" s="24" t="str">
        <f>Answer_Tables!B18</f>
        <v>Rohit Das</v>
      </c>
      <c r="D29" s="5" t="s">
        <v>608</v>
      </c>
      <c r="E29" s="5" t="s">
        <v>609</v>
      </c>
    </row>
    <row r="30" spans="1:5" ht="26.4" x14ac:dyDescent="0.3">
      <c r="A30" s="5" t="s">
        <v>124</v>
      </c>
      <c r="B30" s="5" t="s">
        <v>610</v>
      </c>
      <c r="C30" s="21">
        <f>SUMPRODUCT(1/COUNTIF(Sales_Data!$E$2:$E$251,Sales_Data!$E$2:$E$251))</f>
        <v>11.999999999999972</v>
      </c>
      <c r="D30" s="5" t="s">
        <v>611</v>
      </c>
      <c r="E30" s="5"/>
    </row>
    <row r="31" spans="1:5" x14ac:dyDescent="0.3">
      <c r="A31" s="5" t="s">
        <v>128</v>
      </c>
      <c r="B31" s="5" t="s">
        <v>612</v>
      </c>
      <c r="C31" s="20">
        <f>C2</f>
        <v>1748297.0500000007</v>
      </c>
      <c r="D31" s="5" t="s">
        <v>613</v>
      </c>
      <c r="E31" s="5" t="s">
        <v>614</v>
      </c>
    </row>
    <row r="32" spans="1:5" x14ac:dyDescent="0.3">
      <c r="A32" s="5" t="s">
        <v>143</v>
      </c>
      <c r="B32" s="5" t="s">
        <v>615</v>
      </c>
      <c r="C32" s="24" t="str">
        <f>Answer_Tables!A60</f>
        <v>Riya Sharma</v>
      </c>
      <c r="D32" s="5" t="s">
        <v>616</v>
      </c>
      <c r="E32" s="5" t="s">
        <v>617</v>
      </c>
    </row>
    <row r="33" spans="1:5" x14ac:dyDescent="0.3">
      <c r="A33" s="5" t="s">
        <v>149</v>
      </c>
      <c r="B33" s="5" t="s">
        <v>618</v>
      </c>
      <c r="C33" s="24" t="str">
        <f>Answer_Tables!B60</f>
        <v>Riya</v>
      </c>
      <c r="D33" s="5" t="s">
        <v>619</v>
      </c>
      <c r="E33" s="5" t="s">
        <v>620</v>
      </c>
    </row>
    <row r="34" spans="1:5" ht="26.4" x14ac:dyDescent="0.3">
      <c r="A34" s="5" t="s">
        <v>154</v>
      </c>
      <c r="B34" s="5" t="s">
        <v>621</v>
      </c>
      <c r="C34" s="24" t="str">
        <f>Answer_Tables!C60</f>
        <v>9876543210</v>
      </c>
      <c r="D34" s="5" t="s">
        <v>622</v>
      </c>
      <c r="E34" s="5" t="s">
        <v>623</v>
      </c>
    </row>
    <row r="35" spans="1:5" ht="26.4" x14ac:dyDescent="0.3">
      <c r="A35" s="5" t="s">
        <v>159</v>
      </c>
      <c r="B35" s="5" t="s">
        <v>624</v>
      </c>
      <c r="C35" s="22">
        <f>Answer_Tables!E74</f>
        <v>21644</v>
      </c>
      <c r="D35" s="5" t="s">
        <v>625</v>
      </c>
      <c r="E35" s="5" t="s">
        <v>626</v>
      </c>
    </row>
    <row r="36" spans="1:5" x14ac:dyDescent="0.3">
      <c r="A36" s="5" t="s">
        <v>164</v>
      </c>
      <c r="B36" s="5" t="s">
        <v>627</v>
      </c>
      <c r="C36" s="21">
        <f>Answer_Tables!B73</f>
        <v>9</v>
      </c>
      <c r="D36" s="5" t="s">
        <v>628</v>
      </c>
      <c r="E36" s="5" t="s">
        <v>629</v>
      </c>
    </row>
    <row r="39" spans="1:5" x14ac:dyDescent="0.3">
      <c r="A39" s="14" t="s">
        <v>630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Questions</vt:lpstr>
      <vt:lpstr>Sales_Data</vt:lpstr>
      <vt:lpstr>Product_Master</vt:lpstr>
      <vt:lpstr>Targets</vt:lpstr>
      <vt:lpstr>Dashboard</vt:lpstr>
      <vt:lpstr>Messy_Data</vt:lpstr>
      <vt:lpstr>Answer_Tables</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divya singh</cp:lastModifiedBy>
  <cp:revision>0</cp:revision>
  <dcterms:created xsi:type="dcterms:W3CDTF">2026-10-01T14:04:14Z</dcterms:created>
  <dcterms:modified xsi:type="dcterms:W3CDTF">2026-10-03T07:37:18Z</dcterms:modified>
  <dc:language>en-US</dc:language>
</cp:coreProperties>
</file>